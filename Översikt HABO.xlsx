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6264-2024</t>
        </is>
      </c>
      <c r="B2" t="inlineStr">
        <is>
          <t>avverkningsanmälan</t>
        </is>
      </c>
      <c r="C2" t="inlineStr">
        <is>
          <t>Avverkning för annat ändamål</t>
        </is>
      </c>
      <c r="D2" s="1" t="n">
        <v>45337</v>
      </c>
      <c r="E2" s="1" t="n">
        <v>46221</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2">
        <f>HYPERLINK("https://klasma.github.io/Logging_0643/artfynd/A 6264-2024 artfynd.xlsx", "A 6264-2024")</f>
        <v/>
      </c>
      <c r="W2">
        <f>HYPERLINK("https://klasma.github.io/Logging_0643/kartor/A 6264-2024 karta.png", "A 6264-2024")</f>
        <v/>
      </c>
      <c r="Y2">
        <f>HYPERLINK("https://klasma.github.io/Logging_0643/klagomål/A 6264-2024 FSC-klagomål.docx", "A 6264-2024")</f>
        <v/>
      </c>
      <c r="Z2">
        <f>HYPERLINK("https://klasma.github.io/Logging_0643/klagomålsmail/A 6264-2024 FSC-klagomål mail.docx", "A 6264-2024")</f>
        <v/>
      </c>
      <c r="AA2">
        <f>HYPERLINK("https://klasma.github.io/Logging_0643/tillsyn/A 6264-2024 tillsynsbegäran.docx", "A 6264-2024")</f>
        <v/>
      </c>
      <c r="AB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46221</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s="2" t="inlineStr">
        <is>
          <t>Ask
Sandödla
Borsttåg
Drillsnäppa
Kricka
Loppstarr
Tallticka
Gräsull
Spindelblomster
Kattfot
Trana
Fläcknycklar
Grönvit nattviol</t>
        </is>
      </c>
      <c r="V3">
        <f>HYPERLINK("https://klasma.github.io/Logging_0643/artfynd/S 982-2022 artfynd.xlsx", "S 982-2022")</f>
        <v/>
      </c>
      <c r="W3">
        <f>HYPERLINK("https://klasma.github.io/Logging_0643/kartor/S 982-2022 karta.png", "S 982-2022")</f>
        <v/>
      </c>
      <c r="Y3">
        <f>HYPERLINK("https://klasma.github.io/Logging_0643/klagomål/S 982-2022 FSC-klagomål.docx", "S 982-2022")</f>
        <v/>
      </c>
      <c r="Z3">
        <f>HYPERLINK("https://klasma.github.io/Logging_0643/klagomålsmail/S 982-2022 FSC-klagomål mail.docx", "S 982-2022")</f>
        <v/>
      </c>
      <c r="AA3">
        <f>HYPERLINK("https://klasma.github.io/Logging_0643/tillsyn/S 982-2022 tillsynsbegäran.docx", "S 982-2022")</f>
        <v/>
      </c>
      <c r="AB3">
        <f>HYPERLINK("https://klasma.github.io/Logging_0643/tillsynsmail/S 982-2022 tillsynsbegäran mail.docx", "S 982-2022")</f>
        <v/>
      </c>
      <c r="AC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46221</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s="2" t="inlineStr">
        <is>
          <t>Lakritsmusseron
Skrovlig taggsvamp
Dropptaggsvamp
Motaggsvamp
Sotvaxskivling
Tallticka
Tjäder
Orre</t>
        </is>
      </c>
      <c r="V4">
        <f>HYPERLINK("https://klasma.github.io/Logging_0643/artfynd/A 28832-2022 artfynd.xlsx", "A 28832-2022")</f>
        <v/>
      </c>
      <c r="W4">
        <f>HYPERLINK("https://klasma.github.io/Logging_0643/kartor/A 28832-2022 karta.png", "A 28832-2022")</f>
        <v/>
      </c>
      <c r="Y4">
        <f>HYPERLINK("https://klasma.github.io/Logging_0643/klagomål/A 28832-2022 FSC-klagomål.docx", "A 28832-2022")</f>
        <v/>
      </c>
      <c r="Z4">
        <f>HYPERLINK("https://klasma.github.io/Logging_0643/klagomålsmail/A 28832-2022 FSC-klagomål mail.docx", "A 28832-2022")</f>
        <v/>
      </c>
      <c r="AA4">
        <f>HYPERLINK("https://klasma.github.io/Logging_0643/tillsyn/A 28832-2022 tillsynsbegäran.docx", "A 28832-2022")</f>
        <v/>
      </c>
      <c r="AB4">
        <f>HYPERLINK("https://klasma.github.io/Logging_0643/tillsynsmail/A 28832-2022 tillsynsbegäran mail.docx", "A 28832-2022")</f>
        <v/>
      </c>
      <c r="AC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46221</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s="2" t="inlineStr">
        <is>
          <t>Skrovlig taggsvamp
Torrmusseron
Dropptaggsvamp
Motaggsvamp
Mindre märgborre
Zontaggsvamp</t>
        </is>
      </c>
      <c r="V5">
        <f>HYPERLINK("https://klasma.github.io/Logging_0643/artfynd/A 36230-2024 artfynd.xlsx", "A 36230-2024")</f>
        <v/>
      </c>
      <c r="W5">
        <f>HYPERLINK("https://klasma.github.io/Logging_0643/kartor/A 36230-2024 karta.png", "A 36230-2024")</f>
        <v/>
      </c>
      <c r="Y5">
        <f>HYPERLINK("https://klasma.github.io/Logging_0643/klagomål/A 36230-2024 FSC-klagomål.docx", "A 36230-2024")</f>
        <v/>
      </c>
      <c r="Z5">
        <f>HYPERLINK("https://klasma.github.io/Logging_0643/klagomålsmail/A 36230-2024 FSC-klagomål mail.docx", "A 36230-2024")</f>
        <v/>
      </c>
      <c r="AA5">
        <f>HYPERLINK("https://klasma.github.io/Logging_0643/tillsyn/A 36230-2024 tillsynsbegäran.docx", "A 36230-2024")</f>
        <v/>
      </c>
      <c r="AB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46221</v>
      </c>
      <c r="F6" t="inlineStr">
        <is>
          <t>JÖNKÖPINGS LÄN</t>
        </is>
      </c>
      <c r="G6" t="inlineStr">
        <is>
          <t>HABO</t>
        </is>
      </c>
      <c r="I6" t="n">
        <v>1.8</v>
      </c>
      <c r="J6" t="n">
        <v>1</v>
      </c>
      <c r="K6" t="n">
        <v>0</v>
      </c>
      <c r="L6" t="n">
        <v>4</v>
      </c>
      <c r="M6" t="n">
        <v>1</v>
      </c>
      <c r="N6" t="n">
        <v>0</v>
      </c>
      <c r="O6" t="n">
        <v>0</v>
      </c>
      <c r="P6" t="n">
        <v>0</v>
      </c>
      <c r="Q6" t="n">
        <v>5</v>
      </c>
      <c r="R6" t="n">
        <v>1</v>
      </c>
      <c r="S6" t="n">
        <v>5</v>
      </c>
      <c r="T6" t="n">
        <v>11</v>
      </c>
      <c r="U6" s="2" t="inlineStr">
        <is>
          <t>Knärot
Barrviolspindling
Dofttaggsvamp
Motaggsvamp
Vaddporing</t>
        </is>
      </c>
      <c r="V6">
        <f>HYPERLINK("https://klasma.github.io/Logging_0643/artfynd/A 58667-2024 artfynd.xlsx", "A 58667-2024")</f>
        <v/>
      </c>
      <c r="W6">
        <f>HYPERLINK("https://klasma.github.io/Logging_0643/kartor/A 58667-2024 karta.png", "A 58667-2024")</f>
        <v/>
      </c>
      <c r="X6">
        <f>HYPERLINK("https://klasma.github.io/Logging_0643/knärot/A 58667-2024 karta knärot.png", "A 58667-2024")</f>
        <v/>
      </c>
      <c r="Y6">
        <f>HYPERLINK("https://klasma.github.io/Logging_0643/klagomål/A 58667-2024 FSC-klagomål.docx", "A 58667-2024")</f>
        <v/>
      </c>
      <c r="Z6">
        <f>HYPERLINK("https://klasma.github.io/Logging_0643/klagomålsmail/A 58667-2024 FSC-klagomål mail.docx", "A 58667-2024")</f>
        <v/>
      </c>
      <c r="AA6">
        <f>HYPERLINK("https://klasma.github.io/Logging_0643/tillsyn/A 58667-2024 tillsynsbegäran.docx", "A 58667-2024")</f>
        <v/>
      </c>
      <c r="AB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46221</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s="2" t="inlineStr">
        <is>
          <t>Cypresslummer
Torrmusseron
Mellanlummer
Motaggsvamp
Svartvit taggsvamp</t>
        </is>
      </c>
      <c r="V7">
        <f>HYPERLINK("https://klasma.github.io/Logging_0643/artfynd/A 44444-2023 artfynd.xlsx", "A 44444-2023")</f>
        <v/>
      </c>
      <c r="W7">
        <f>HYPERLINK("https://klasma.github.io/Logging_0643/kartor/A 44444-2023 karta.png", "A 44444-2023")</f>
        <v/>
      </c>
      <c r="Y7">
        <f>HYPERLINK("https://klasma.github.io/Logging_0643/klagomål/A 44444-2023 FSC-klagomål.docx", "A 44444-2023")</f>
        <v/>
      </c>
      <c r="Z7">
        <f>HYPERLINK("https://klasma.github.io/Logging_0643/klagomålsmail/A 44444-2023 FSC-klagomål mail.docx", "A 44444-2023")</f>
        <v/>
      </c>
      <c r="AA7">
        <f>HYPERLINK("https://klasma.github.io/Logging_0643/tillsyn/A 44444-2023 tillsynsbegäran.docx", "A 44444-2023")</f>
        <v/>
      </c>
      <c r="AB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46221</v>
      </c>
      <c r="F8" t="inlineStr">
        <is>
          <t>JÖNKÖPINGS LÄN</t>
        </is>
      </c>
      <c r="G8" t="inlineStr">
        <is>
          <t>HABO</t>
        </is>
      </c>
      <c r="I8" t="n">
        <v>8.5</v>
      </c>
      <c r="J8" t="n">
        <v>2</v>
      </c>
      <c r="K8" t="n">
        <v>0</v>
      </c>
      <c r="L8" t="n">
        <v>3</v>
      </c>
      <c r="M8" t="n">
        <v>0</v>
      </c>
      <c r="N8" t="n">
        <v>0</v>
      </c>
      <c r="O8" t="n">
        <v>0</v>
      </c>
      <c r="P8" t="n">
        <v>0</v>
      </c>
      <c r="Q8" t="n">
        <v>3</v>
      </c>
      <c r="R8" t="n">
        <v>0</v>
      </c>
      <c r="S8" t="n">
        <v>5</v>
      </c>
      <c r="T8" t="n">
        <v>5</v>
      </c>
      <c r="U8" s="2" t="inlineStr">
        <is>
          <t>Borsttåg
Slåtterfibbla
Svinrot
Fläcknycklar
Revlummer</t>
        </is>
      </c>
      <c r="V8">
        <f>HYPERLINK("https://klasma.github.io/Logging_0643/artfynd/A 23272-2025 artfynd.xlsx", "A 23272-2025")</f>
        <v/>
      </c>
      <c r="W8">
        <f>HYPERLINK("https://klasma.github.io/Logging_0643/kartor/A 23272-2025 karta.png", "A 23272-2025")</f>
        <v/>
      </c>
      <c r="Y8">
        <f>HYPERLINK("https://klasma.github.io/Logging_0643/klagomål/A 23272-2025 FSC-klagomål.docx", "A 23272-2025")</f>
        <v/>
      </c>
      <c r="Z8">
        <f>HYPERLINK("https://klasma.github.io/Logging_0643/klagomålsmail/A 23272-2025 FSC-klagomål mail.docx", "A 23272-2025")</f>
        <v/>
      </c>
      <c r="AA8">
        <f>HYPERLINK("https://klasma.github.io/Logging_0643/tillsyn/A 23272-2025 tillsynsbegäran.docx", "A 23272-2025")</f>
        <v/>
      </c>
      <c r="AB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46221</v>
      </c>
      <c r="F9" t="inlineStr">
        <is>
          <t>JÖNKÖPINGS LÄN</t>
        </is>
      </c>
      <c r="G9" t="inlineStr">
        <is>
          <t>HABO</t>
        </is>
      </c>
      <c r="I9" t="n">
        <v>2.5</v>
      </c>
      <c r="J9" t="n">
        <v>0</v>
      </c>
      <c r="K9" t="n">
        <v>1</v>
      </c>
      <c r="L9" t="n">
        <v>2</v>
      </c>
      <c r="M9" t="n">
        <v>1</v>
      </c>
      <c r="N9" t="n">
        <v>0</v>
      </c>
      <c r="O9" t="n">
        <v>0</v>
      </c>
      <c r="P9" t="n">
        <v>0</v>
      </c>
      <c r="Q9" t="n">
        <v>3</v>
      </c>
      <c r="R9" t="n">
        <v>1</v>
      </c>
      <c r="S9" t="n">
        <v>4</v>
      </c>
      <c r="T9" t="n">
        <v>4</v>
      </c>
      <c r="U9" s="2" t="inlineStr">
        <is>
          <t>Skrovlig taggsvamp
Dropptaggsvamp
Skarp dropptaggsvamp
Blomkålssvamp</t>
        </is>
      </c>
      <c r="V9">
        <f>HYPERLINK("https://klasma.github.io/Logging_0643/artfynd/A 53298-2022 artfynd.xlsx", "A 53298-2022")</f>
        <v/>
      </c>
      <c r="W9">
        <f>HYPERLINK("https://klasma.github.io/Logging_0643/kartor/A 53298-2022 karta.png", "A 53298-2022")</f>
        <v/>
      </c>
      <c r="Y9">
        <f>HYPERLINK("https://klasma.github.io/Logging_0643/klagomål/A 53298-2022 FSC-klagomål.docx", "A 53298-2022")</f>
        <v/>
      </c>
      <c r="Z9">
        <f>HYPERLINK("https://klasma.github.io/Logging_0643/klagomålsmail/A 53298-2022 FSC-klagomål mail.docx", "A 53298-2022")</f>
        <v/>
      </c>
      <c r="AA9">
        <f>HYPERLINK("https://klasma.github.io/Logging_0643/tillsyn/A 53298-2022 tillsynsbegäran.docx", "A 53298-2022")</f>
        <v/>
      </c>
      <c r="AB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46221</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s="2" t="inlineStr">
        <is>
          <t>Skrovlig taggsvamp
Torrmusseron
Motaggsvamp
Mattlummer</t>
        </is>
      </c>
      <c r="V10">
        <f>HYPERLINK("https://klasma.github.io/Logging_0643/artfynd/A 38063-2025 artfynd.xlsx", "A 38063-2025")</f>
        <v/>
      </c>
      <c r="W10">
        <f>HYPERLINK("https://klasma.github.io/Logging_0643/kartor/A 38063-2025 karta.png", "A 38063-2025")</f>
        <v/>
      </c>
      <c r="Y10">
        <f>HYPERLINK("https://klasma.github.io/Logging_0643/klagomål/A 38063-2025 FSC-klagomål.docx", "A 38063-2025")</f>
        <v/>
      </c>
      <c r="Z10">
        <f>HYPERLINK("https://klasma.github.io/Logging_0643/klagomålsmail/A 38063-2025 FSC-klagomål mail.docx", "A 38063-2025")</f>
        <v/>
      </c>
      <c r="AA10">
        <f>HYPERLINK("https://klasma.github.io/Logging_0643/tillsyn/A 38063-2025 tillsynsbegäran.docx", "A 38063-2025")</f>
        <v/>
      </c>
      <c r="AB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46221</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s="2" t="inlineStr">
        <is>
          <t>Mosippa
Motaggsvamp
Vanlig padda</t>
        </is>
      </c>
      <c r="V11">
        <f>HYPERLINK("https://klasma.github.io/Logging_0643/artfynd/A 36227-2024 artfynd.xlsx", "A 36227-2024")</f>
        <v/>
      </c>
      <c r="W11">
        <f>HYPERLINK("https://klasma.github.io/Logging_0643/kartor/A 36227-2024 karta.png", "A 36227-2024")</f>
        <v/>
      </c>
      <c r="Y11">
        <f>HYPERLINK("https://klasma.github.io/Logging_0643/klagomål/A 36227-2024 FSC-klagomål.docx", "A 36227-2024")</f>
        <v/>
      </c>
      <c r="Z11">
        <f>HYPERLINK("https://klasma.github.io/Logging_0643/klagomålsmail/A 36227-2024 FSC-klagomål mail.docx", "A 36227-2024")</f>
        <v/>
      </c>
      <c r="AA11">
        <f>HYPERLINK("https://klasma.github.io/Logging_0643/tillsyn/A 36227-2024 tillsynsbegäran.docx", "A 36227-2024")</f>
        <v/>
      </c>
      <c r="AB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46221</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s="2" t="inlineStr">
        <is>
          <t>Tallriska
Talltita
Dvärghäxört</t>
        </is>
      </c>
      <c r="V12">
        <f>HYPERLINK("https://klasma.github.io/Logging_0643/artfynd/A 26934-2025 artfynd.xlsx", "A 26934-2025")</f>
        <v/>
      </c>
      <c r="W12">
        <f>HYPERLINK("https://klasma.github.io/Logging_0643/kartor/A 26934-2025 karta.png", "A 26934-2025")</f>
        <v/>
      </c>
      <c r="Y12">
        <f>HYPERLINK("https://klasma.github.io/Logging_0643/klagomål/A 26934-2025 FSC-klagomål.docx", "A 26934-2025")</f>
        <v/>
      </c>
      <c r="Z12">
        <f>HYPERLINK("https://klasma.github.io/Logging_0643/klagomålsmail/A 26934-2025 FSC-klagomål mail.docx", "A 26934-2025")</f>
        <v/>
      </c>
      <c r="AA12">
        <f>HYPERLINK("https://klasma.github.io/Logging_0643/tillsyn/A 26934-2025 tillsynsbegäran.docx", "A 26934-2025")</f>
        <v/>
      </c>
      <c r="AB12">
        <f>HYPERLINK("https://klasma.github.io/Logging_0643/tillsynsmail/A 26934-2025 tillsynsbegäran mail.docx", "A 26934-2025")</f>
        <v/>
      </c>
      <c r="AC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46221</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s="2" t="inlineStr">
        <is>
          <t>Motaggsvamp
Tallticka
Blomkålssvamp</t>
        </is>
      </c>
      <c r="V13">
        <f>HYPERLINK("https://klasma.github.io/Logging_0643/artfynd/A 57916-2024 artfynd.xlsx", "A 57916-2024")</f>
        <v/>
      </c>
      <c r="W13">
        <f>HYPERLINK("https://klasma.github.io/Logging_0643/kartor/A 57916-2024 karta.png", "A 57916-2024")</f>
        <v/>
      </c>
      <c r="Y13">
        <f>HYPERLINK("https://klasma.github.io/Logging_0643/klagomål/A 57916-2024 FSC-klagomål.docx", "A 57916-2024")</f>
        <v/>
      </c>
      <c r="Z13">
        <f>HYPERLINK("https://klasma.github.io/Logging_0643/klagomålsmail/A 57916-2024 FSC-klagomål mail.docx", "A 57916-2024")</f>
        <v/>
      </c>
      <c r="AA13">
        <f>HYPERLINK("https://klasma.github.io/Logging_0643/tillsyn/A 57916-2024 tillsynsbegäran.docx", "A 57916-2024")</f>
        <v/>
      </c>
      <c r="AB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46221</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s="2" t="inlineStr">
        <is>
          <t>Sexfläckig bastardsvärmare
Guldlockmossa
Blåsippa</t>
        </is>
      </c>
      <c r="V14">
        <f>HYPERLINK("https://klasma.github.io/Logging_0643/artfynd/A 29448-2023 artfynd.xlsx", "A 29448-2023")</f>
        <v/>
      </c>
      <c r="W14">
        <f>HYPERLINK("https://klasma.github.io/Logging_0643/kartor/A 29448-2023 karta.png", "A 29448-2023")</f>
        <v/>
      </c>
      <c r="Y14">
        <f>HYPERLINK("https://klasma.github.io/Logging_0643/klagomål/A 29448-2023 FSC-klagomål.docx", "A 29448-2023")</f>
        <v/>
      </c>
      <c r="Z14">
        <f>HYPERLINK("https://klasma.github.io/Logging_0643/klagomålsmail/A 29448-2023 FSC-klagomål mail.docx", "A 29448-2023")</f>
        <v/>
      </c>
      <c r="AA14">
        <f>HYPERLINK("https://klasma.github.io/Logging_0643/tillsyn/A 29448-2023 tillsynsbegäran.docx", "A 29448-2023")</f>
        <v/>
      </c>
      <c r="AB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46221</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s="2" t="inlineStr">
        <is>
          <t>Knärot
Talltita
Revlummer</t>
        </is>
      </c>
      <c r="V15">
        <f>HYPERLINK("https://klasma.github.io/Logging_0643/artfynd/A 17847-2024 artfynd.xlsx", "A 17847-2024")</f>
        <v/>
      </c>
      <c r="W15">
        <f>HYPERLINK("https://klasma.github.io/Logging_0643/kartor/A 17847-2024 karta.png", "A 17847-2024")</f>
        <v/>
      </c>
      <c r="X15">
        <f>HYPERLINK("https://klasma.github.io/Logging_0643/knärot/A 17847-2024 karta knärot.png", "A 17847-2024")</f>
        <v/>
      </c>
      <c r="Y15">
        <f>HYPERLINK("https://klasma.github.io/Logging_0643/klagomål/A 17847-2024 FSC-klagomål.docx", "A 17847-2024")</f>
        <v/>
      </c>
      <c r="Z15">
        <f>HYPERLINK("https://klasma.github.io/Logging_0643/klagomålsmail/A 17847-2024 FSC-klagomål mail.docx", "A 17847-2024")</f>
        <v/>
      </c>
      <c r="AA15">
        <f>HYPERLINK("https://klasma.github.io/Logging_0643/tillsyn/A 17847-2024 tillsynsbegäran.docx", "A 17847-2024")</f>
        <v/>
      </c>
      <c r="AB15">
        <f>HYPERLINK("https://klasma.github.io/Logging_0643/tillsynsmail/A 17847-2024 tillsynsbegäran mail.docx", "A 17847-2024")</f>
        <v/>
      </c>
      <c r="AC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46221</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s="2" t="inlineStr">
        <is>
          <t>Skrovlig taggsvamp
Dropptaggsvamp
Blomkålssvamp</t>
        </is>
      </c>
      <c r="V16">
        <f>HYPERLINK("https://klasma.github.io/Logging_0643/artfynd/A 28842-2022 artfynd.xlsx", "A 28842-2022")</f>
        <v/>
      </c>
      <c r="W16">
        <f>HYPERLINK("https://klasma.github.io/Logging_0643/kartor/A 28842-2022 karta.png", "A 28842-2022")</f>
        <v/>
      </c>
      <c r="Y16">
        <f>HYPERLINK("https://klasma.github.io/Logging_0643/klagomål/A 28842-2022 FSC-klagomål.docx", "A 28842-2022")</f>
        <v/>
      </c>
      <c r="Z16">
        <f>HYPERLINK("https://klasma.github.io/Logging_0643/klagomålsmail/A 28842-2022 FSC-klagomål mail.docx", "A 28842-2022")</f>
        <v/>
      </c>
      <c r="AA16">
        <f>HYPERLINK("https://klasma.github.io/Logging_0643/tillsyn/A 28842-2022 tillsynsbegäran.docx", "A 28842-2022")</f>
        <v/>
      </c>
      <c r="AB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46221</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s="2" t="inlineStr">
        <is>
          <t>Nattviol × grönvit nattviol
Gullviva</t>
        </is>
      </c>
      <c r="V17">
        <f>HYPERLINK("https://klasma.github.io/Logging_0643/artfynd/A 40646-2022 artfynd.xlsx", "A 40646-2022")</f>
        <v/>
      </c>
      <c r="W17">
        <f>HYPERLINK("https://klasma.github.io/Logging_0643/kartor/A 40646-2022 karta.png", "A 40646-2022")</f>
        <v/>
      </c>
      <c r="Y17">
        <f>HYPERLINK("https://klasma.github.io/Logging_0643/klagomål/A 40646-2022 FSC-klagomål.docx", "A 40646-2022")</f>
        <v/>
      </c>
      <c r="Z17">
        <f>HYPERLINK("https://klasma.github.io/Logging_0643/klagomålsmail/A 40646-2022 FSC-klagomål mail.docx", "A 40646-2022")</f>
        <v/>
      </c>
      <c r="AA17">
        <f>HYPERLINK("https://klasma.github.io/Logging_0643/tillsyn/A 40646-2022 tillsynsbegäran.docx", "A 40646-2022")</f>
        <v/>
      </c>
      <c r="AB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46221</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s="2" t="inlineStr">
        <is>
          <t>Svinrot
Grönvit nattviol</t>
        </is>
      </c>
      <c r="V18">
        <f>HYPERLINK("https://klasma.github.io/Logging_0643/artfynd/A 52417-2023 artfynd.xlsx", "A 52417-2023")</f>
        <v/>
      </c>
      <c r="W18">
        <f>HYPERLINK("https://klasma.github.io/Logging_0643/kartor/A 52417-2023 karta.png", "A 52417-2023")</f>
        <v/>
      </c>
      <c r="Y18">
        <f>HYPERLINK("https://klasma.github.io/Logging_0643/klagomål/A 52417-2023 FSC-klagomål.docx", "A 52417-2023")</f>
        <v/>
      </c>
      <c r="Z18">
        <f>HYPERLINK("https://klasma.github.io/Logging_0643/klagomålsmail/A 52417-2023 FSC-klagomål mail.docx", "A 52417-2023")</f>
        <v/>
      </c>
      <c r="AA18">
        <f>HYPERLINK("https://klasma.github.io/Logging_0643/tillsyn/A 52417-2023 tillsynsbegäran.docx", "A 52417-2023")</f>
        <v/>
      </c>
      <c r="AB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46221</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s="2" t="inlineStr">
        <is>
          <t>Knärot
Dropptaggsvamp</t>
        </is>
      </c>
      <c r="V19">
        <f>HYPERLINK("https://klasma.github.io/Logging_0643/artfynd/A 47199-2025 artfynd.xlsx", "A 47199-2025")</f>
        <v/>
      </c>
      <c r="W19">
        <f>HYPERLINK("https://klasma.github.io/Logging_0643/kartor/A 47199-2025 karta.png", "A 47199-2025")</f>
        <v/>
      </c>
      <c r="X19">
        <f>HYPERLINK("https://klasma.github.io/Logging_0643/knärot/A 47199-2025 karta knärot.png", "A 47199-2025")</f>
        <v/>
      </c>
      <c r="Y19">
        <f>HYPERLINK("https://klasma.github.io/Logging_0643/klagomål/A 47199-2025 FSC-klagomål.docx", "A 47199-2025")</f>
        <v/>
      </c>
      <c r="Z19">
        <f>HYPERLINK("https://klasma.github.io/Logging_0643/klagomålsmail/A 47199-2025 FSC-klagomål mail.docx", "A 47199-2025")</f>
        <v/>
      </c>
      <c r="AA19">
        <f>HYPERLINK("https://klasma.github.io/Logging_0643/tillsyn/A 47199-2025 tillsynsbegäran.docx", "A 47199-2025")</f>
        <v/>
      </c>
      <c r="AB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46221</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s="2" t="inlineStr">
        <is>
          <t>Cypresslummer
Torrmusseron</t>
        </is>
      </c>
      <c r="V20">
        <f>HYPERLINK("https://klasma.github.io/Logging_0643/artfynd/A 38067-2025 artfynd.xlsx", "A 38067-2025")</f>
        <v/>
      </c>
      <c r="W20">
        <f>HYPERLINK("https://klasma.github.io/Logging_0643/kartor/A 38067-2025 karta.png", "A 38067-2025")</f>
        <v/>
      </c>
      <c r="Y20">
        <f>HYPERLINK("https://klasma.github.io/Logging_0643/klagomål/A 38067-2025 FSC-klagomål.docx", "A 38067-2025")</f>
        <v/>
      </c>
      <c r="Z20">
        <f>HYPERLINK("https://klasma.github.io/Logging_0643/klagomålsmail/A 38067-2025 FSC-klagomål mail.docx", "A 38067-2025")</f>
        <v/>
      </c>
      <c r="AA20">
        <f>HYPERLINK("https://klasma.github.io/Logging_0643/tillsyn/A 38067-2025 tillsynsbegäran.docx", "A 38067-2025")</f>
        <v/>
      </c>
      <c r="AB20">
        <f>HYPERLINK("https://klasma.github.io/Logging_0643/tillsynsmail/A 38067-2025 tillsynsbegäran mail.docx", "A 38067-2025")</f>
        <v/>
      </c>
    </row>
    <row r="21" ht="15" customHeight="1">
      <c r="A21" t="inlineStr">
        <is>
          <t>A 58663-2024</t>
        </is>
      </c>
      <c r="B21" t="inlineStr">
        <is>
          <t>avverkningsanmälan</t>
        </is>
      </c>
      <c r="C21" t="inlineStr">
        <is>
          <t>Föryngringsavverkning</t>
        </is>
      </c>
      <c r="D21" s="1" t="n">
        <v>45635</v>
      </c>
      <c r="E21" s="1" t="n">
        <v>46221</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s="2" t="inlineStr">
        <is>
          <t>Motaggsvamp
Rhithrogena germanica</t>
        </is>
      </c>
      <c r="V21">
        <f>HYPERLINK("https://klasma.github.io/Logging_0643/artfynd/A 58663-2024 artfynd.xlsx", "A 58663-2024")</f>
        <v/>
      </c>
      <c r="W21">
        <f>HYPERLINK("https://klasma.github.io/Logging_0643/kartor/A 58663-2024 karta.png", "A 58663-2024")</f>
        <v/>
      </c>
      <c r="Y21">
        <f>HYPERLINK("https://klasma.github.io/Logging_0643/klagomål/A 58663-2024 FSC-klagomål.docx", "A 58663-2024")</f>
        <v/>
      </c>
      <c r="Z21">
        <f>HYPERLINK("https://klasma.github.io/Logging_0643/klagomålsmail/A 58663-2024 FSC-klagomål mail.docx", "A 58663-2024")</f>
        <v/>
      </c>
      <c r="AA21">
        <f>HYPERLINK("https://klasma.github.io/Logging_0643/tillsyn/A 58663-2024 tillsynsbegäran.docx", "A 58663-2024")</f>
        <v/>
      </c>
      <c r="AB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46221</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s="2" t="inlineStr">
        <is>
          <t>Mellanlummer</t>
        </is>
      </c>
      <c r="V22">
        <f>HYPERLINK("https://klasma.github.io/Logging_0643/artfynd/A 27669-2025 artfynd.xlsx", "A 27669-2025")</f>
        <v/>
      </c>
      <c r="W22">
        <f>HYPERLINK("https://klasma.github.io/Logging_0643/kartor/A 27669-2025 karta.png", "A 27669-2025")</f>
        <v/>
      </c>
      <c r="Y22">
        <f>HYPERLINK("https://klasma.github.io/Logging_0643/klagomål/A 27669-2025 FSC-klagomål.docx", "A 27669-2025")</f>
        <v/>
      </c>
      <c r="Z22">
        <f>HYPERLINK("https://klasma.github.io/Logging_0643/klagomålsmail/A 27669-2025 FSC-klagomål mail.docx", "A 27669-2025")</f>
        <v/>
      </c>
      <c r="AA22">
        <f>HYPERLINK("https://klasma.github.io/Logging_0643/tillsyn/A 27669-2025 tillsynsbegäran.docx", "A 27669-2025")</f>
        <v/>
      </c>
      <c r="AB22">
        <f>HYPERLINK("https://klasma.github.io/Logging_0643/tillsynsmail/A 27669-2025 tillsynsbegäran mail.docx", "A 27669-2025")</f>
        <v/>
      </c>
    </row>
    <row r="23" ht="15" customHeight="1">
      <c r="A23" t="inlineStr">
        <is>
          <t>A 48348-2025</t>
        </is>
      </c>
      <c r="B23" t="inlineStr">
        <is>
          <t>avverkningsanmälan</t>
        </is>
      </c>
      <c r="C23" t="inlineStr">
        <is>
          <t>Föryngringsavverkning</t>
        </is>
      </c>
      <c r="D23" s="1" t="n">
        <v>45933</v>
      </c>
      <c r="E23" s="1" t="n">
        <v>46221</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s="2" t="inlineStr">
        <is>
          <t>Nordfladdermus</t>
        </is>
      </c>
      <c r="V23">
        <f>HYPERLINK("https://klasma.github.io/Logging_0643/artfynd/A 48348-2025 artfynd.xlsx", "A 48348-2025")</f>
        <v/>
      </c>
      <c r="W23">
        <f>HYPERLINK("https://klasma.github.io/Logging_0643/kartor/A 48348-2025 karta.png", "A 48348-2025")</f>
        <v/>
      </c>
      <c r="Y23">
        <f>HYPERLINK("https://klasma.github.io/Logging_0643/klagomål/A 48348-2025 FSC-klagomål.docx", "A 48348-2025")</f>
        <v/>
      </c>
      <c r="Z23">
        <f>HYPERLINK("https://klasma.github.io/Logging_0643/klagomålsmail/A 48348-2025 FSC-klagomål mail.docx", "A 48348-2025")</f>
        <v/>
      </c>
      <c r="AA23">
        <f>HYPERLINK("https://klasma.github.io/Logging_0643/tillsyn/A 48348-2025 tillsynsbegäran.docx", "A 48348-2025")</f>
        <v/>
      </c>
      <c r="AB23">
        <f>HYPERLINK("https://klasma.github.io/Logging_0643/tillsynsmail/A 48348-2025 tillsynsbegäran mail.docx", "A 48348-2025")</f>
        <v/>
      </c>
    </row>
    <row r="24" ht="15" customHeight="1">
      <c r="A24" t="inlineStr">
        <is>
          <t>A 38055-2025</t>
        </is>
      </c>
      <c r="B24" t="inlineStr">
        <is>
          <t>avverkningsanmälan</t>
        </is>
      </c>
      <c r="C24" t="inlineStr">
        <is>
          <t>Föryngringsavverkning</t>
        </is>
      </c>
      <c r="D24" s="1" t="n">
        <v>45882</v>
      </c>
      <c r="E24" s="1" t="n">
        <v>46221</v>
      </c>
      <c r="F24" t="inlineStr">
        <is>
          <t>JÖNKÖPINGS LÄN</t>
        </is>
      </c>
      <c r="G24" t="inlineStr">
        <is>
          <t>HABO</t>
        </is>
      </c>
      <c r="H24" t="inlineStr">
        <is>
          <t>Allmännings- och besparingsskogar</t>
        </is>
      </c>
      <c r="I24" t="n">
        <v>8.199999999999999</v>
      </c>
      <c r="J24" t="n">
        <v>0</v>
      </c>
      <c r="K24" t="n">
        <v>1</v>
      </c>
      <c r="L24" t="n">
        <v>0</v>
      </c>
      <c r="M24" t="n">
        <v>0</v>
      </c>
      <c r="N24" t="n">
        <v>0</v>
      </c>
      <c r="O24" t="n">
        <v>0</v>
      </c>
      <c r="P24" t="n">
        <v>0</v>
      </c>
      <c r="Q24" t="n">
        <v>0</v>
      </c>
      <c r="R24" t="n">
        <v>0</v>
      </c>
      <c r="S24" t="n">
        <v>1</v>
      </c>
      <c r="T24" t="n">
        <v>1</v>
      </c>
      <c r="U24" s="2" t="inlineStr">
        <is>
          <t>Mindre märgborre</t>
        </is>
      </c>
      <c r="V24">
        <f>HYPERLINK("https://klasma.github.io/Logging_0643/artfynd/A 38055-2025 artfynd.xlsx", "A 38055-2025")</f>
        <v/>
      </c>
      <c r="W24">
        <f>HYPERLINK("https://klasma.github.io/Logging_0643/kartor/A 38055-2025 karta.png", "A 38055-2025")</f>
        <v/>
      </c>
      <c r="Y24">
        <f>HYPERLINK("https://klasma.github.io/Logging_0643/klagomål/A 38055-2025 FSC-klagomål.docx", "A 38055-2025")</f>
        <v/>
      </c>
      <c r="Z24">
        <f>HYPERLINK("https://klasma.github.io/Logging_0643/klagomålsmail/A 38055-2025 FSC-klagomål mail.docx", "A 38055-2025")</f>
        <v/>
      </c>
      <c r="AA24">
        <f>HYPERLINK("https://klasma.github.io/Logging_0643/tillsyn/A 38055-2025 tillsynsbegäran.docx", "A 38055-2025")</f>
        <v/>
      </c>
      <c r="AB24">
        <f>HYPERLINK("https://klasma.github.io/Logging_0643/tillsynsmail/A 38055-2025 tillsynsbegäran mail.docx", "A 38055-2025")</f>
        <v/>
      </c>
    </row>
    <row r="25" ht="15" customHeight="1">
      <c r="A25" t="inlineStr">
        <is>
          <t>A 58644-2024</t>
        </is>
      </c>
      <c r="B25" t="inlineStr">
        <is>
          <t>avverkningsanmälan</t>
        </is>
      </c>
      <c r="C25" t="inlineStr">
        <is>
          <t>Föryngringsavverkning</t>
        </is>
      </c>
      <c r="D25" s="1" t="n">
        <v>45635</v>
      </c>
      <c r="E25" s="1" t="n">
        <v>46221</v>
      </c>
      <c r="F25" t="inlineStr">
        <is>
          <t>JÖNKÖPINGS LÄN</t>
        </is>
      </c>
      <c r="G25" t="inlineStr">
        <is>
          <t>HABO</t>
        </is>
      </c>
      <c r="I25" t="n">
        <v>4.5</v>
      </c>
      <c r="J25" t="n">
        <v>0</v>
      </c>
      <c r="K25" t="n">
        <v>0</v>
      </c>
      <c r="L25" t="n">
        <v>1</v>
      </c>
      <c r="M25" t="n">
        <v>0</v>
      </c>
      <c r="N25" t="n">
        <v>0</v>
      </c>
      <c r="O25" t="n">
        <v>0</v>
      </c>
      <c r="P25" t="n">
        <v>0</v>
      </c>
      <c r="Q25" t="n">
        <v>1</v>
      </c>
      <c r="R25" t="n">
        <v>0</v>
      </c>
      <c r="S25" t="n">
        <v>1</v>
      </c>
      <c r="T25" t="n">
        <v>1</v>
      </c>
      <c r="U25" s="2" t="inlineStr">
        <is>
          <t>Dropptaggsvamp</t>
        </is>
      </c>
      <c r="V25">
        <f>HYPERLINK("https://klasma.github.io/Logging_0643/artfynd/A 58644-2024 artfynd.xlsx", "A 58644-2024")</f>
        <v/>
      </c>
      <c r="W25">
        <f>HYPERLINK("https://klasma.github.io/Logging_0643/kartor/A 58644-2024 karta.png", "A 58644-2024")</f>
        <v/>
      </c>
      <c r="Y25">
        <f>HYPERLINK("https://klasma.github.io/Logging_0643/klagomål/A 58644-2024 FSC-klagomål.docx", "A 58644-2024")</f>
        <v/>
      </c>
      <c r="Z25">
        <f>HYPERLINK("https://klasma.github.io/Logging_0643/klagomålsmail/A 58644-2024 FSC-klagomål mail.docx", "A 58644-2024")</f>
        <v/>
      </c>
      <c r="AA25">
        <f>HYPERLINK("https://klasma.github.io/Logging_0643/tillsyn/A 58644-2024 tillsynsbegäran.docx", "A 58644-2024")</f>
        <v/>
      </c>
      <c r="AB25">
        <f>HYPERLINK("https://klasma.github.io/Logging_0643/tillsynsmail/A 58644-2024 tillsynsbegäran mail.docx", "A 58644-2024")</f>
        <v/>
      </c>
    </row>
    <row r="26" ht="15" customHeight="1">
      <c r="A26" t="inlineStr">
        <is>
          <t>A 40575-2021</t>
        </is>
      </c>
      <c r="B26" t="inlineStr">
        <is>
          <t>avverkningsanmälan</t>
        </is>
      </c>
      <c r="C26" t="inlineStr">
        <is>
          <t>Föryngringsavverkning</t>
        </is>
      </c>
      <c r="D26" s="1" t="n">
        <v>44420</v>
      </c>
      <c r="E26" s="1" t="n">
        <v>46221</v>
      </c>
      <c r="F26" t="inlineStr">
        <is>
          <t>JÖNKÖPINGS LÄN</t>
        </is>
      </c>
      <c r="G26" t="inlineStr">
        <is>
          <t>HABO</t>
        </is>
      </c>
      <c r="I26" t="n">
        <v>3.2</v>
      </c>
      <c r="J26" t="n">
        <v>0</v>
      </c>
      <c r="K26" t="n">
        <v>0</v>
      </c>
      <c r="L26" t="n">
        <v>1</v>
      </c>
      <c r="M26" t="n">
        <v>0</v>
      </c>
      <c r="N26" t="n">
        <v>0</v>
      </c>
      <c r="O26" t="n">
        <v>0</v>
      </c>
      <c r="P26" t="n">
        <v>0</v>
      </c>
      <c r="Q26" t="n">
        <v>1</v>
      </c>
      <c r="R26" t="n">
        <v>0</v>
      </c>
      <c r="S26" t="n">
        <v>1</v>
      </c>
      <c r="T26" t="n">
        <v>1</v>
      </c>
      <c r="U26" s="2" t="inlineStr">
        <is>
          <t>Motaggsvamp</t>
        </is>
      </c>
      <c r="V26">
        <f>HYPERLINK("https://klasma.github.io/Logging_0643/artfynd/A 40575-2021 artfynd.xlsx", "A 40575-2021")</f>
        <v/>
      </c>
      <c r="W26">
        <f>HYPERLINK("https://klasma.github.io/Logging_0643/kartor/A 40575-2021 karta.png", "A 40575-2021")</f>
        <v/>
      </c>
      <c r="Y26">
        <f>HYPERLINK("https://klasma.github.io/Logging_0643/klagomål/A 40575-2021 FSC-klagomål.docx", "A 40575-2021")</f>
        <v/>
      </c>
      <c r="Z26">
        <f>HYPERLINK("https://klasma.github.io/Logging_0643/klagomålsmail/A 40575-2021 FSC-klagomål mail.docx", "A 40575-2021")</f>
        <v/>
      </c>
      <c r="AA26">
        <f>HYPERLINK("https://klasma.github.io/Logging_0643/tillsyn/A 40575-2021 tillsynsbegäran.docx", "A 40575-2021")</f>
        <v/>
      </c>
      <c r="AB26">
        <f>HYPERLINK("https://klasma.github.io/Logging_0643/tillsynsmail/A 40575-2021 tillsynsbegäran mail.docx", "A 40575-2021")</f>
        <v/>
      </c>
    </row>
    <row r="27" ht="15" customHeight="1">
      <c r="A27" t="inlineStr">
        <is>
          <t>A 58526-2025</t>
        </is>
      </c>
      <c r="B27" t="inlineStr">
        <is>
          <t>avverkningsanmälan</t>
        </is>
      </c>
      <c r="C27" t="inlineStr">
        <is>
          <t>Föryngringsavverkning</t>
        </is>
      </c>
      <c r="D27" s="1" t="n">
        <v>45985</v>
      </c>
      <c r="E27" s="1" t="n">
        <v>46221</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s="2" t="inlineStr">
        <is>
          <t>Tallticka</t>
        </is>
      </c>
      <c r="V27">
        <f>HYPERLINK("https://klasma.github.io/Logging_0643/artfynd/A 58526-2025 artfynd.xlsx", "A 58526-2025")</f>
        <v/>
      </c>
      <c r="W27">
        <f>HYPERLINK("https://klasma.github.io/Logging_0643/kartor/A 58526-2025 karta.png", "A 58526-2025")</f>
        <v/>
      </c>
      <c r="Y27">
        <f>HYPERLINK("https://klasma.github.io/Logging_0643/klagomål/A 58526-2025 FSC-klagomål.docx", "A 58526-2025")</f>
        <v/>
      </c>
      <c r="Z27">
        <f>HYPERLINK("https://klasma.github.io/Logging_0643/klagomålsmail/A 58526-2025 FSC-klagomål mail.docx", "A 58526-2025")</f>
        <v/>
      </c>
      <c r="AA27">
        <f>HYPERLINK("https://klasma.github.io/Logging_0643/tillsyn/A 58526-2025 tillsynsbegäran.docx", "A 58526-2025")</f>
        <v/>
      </c>
      <c r="AB27">
        <f>HYPERLINK("https://klasma.github.io/Logging_0643/tillsynsmail/A 58526-2025 tillsynsbegäran mail.docx", "A 58526-2025")</f>
        <v/>
      </c>
    </row>
    <row r="28" ht="15" customHeight="1">
      <c r="A28" t="inlineStr">
        <is>
          <t>A 58668-2024</t>
        </is>
      </c>
      <c r="B28" t="inlineStr">
        <is>
          <t>avverkningsanmälan</t>
        </is>
      </c>
      <c r="C28" t="inlineStr">
        <is>
          <t>Föryngringsavverkning</t>
        </is>
      </c>
      <c r="D28" s="1" t="n">
        <v>45635</v>
      </c>
      <c r="E28" s="1" t="n">
        <v>46221</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s="2" t="inlineStr">
        <is>
          <t>Vaddporing</t>
        </is>
      </c>
      <c r="V28">
        <f>HYPERLINK("https://klasma.github.io/Logging_0643/artfynd/A 58668-2024 artfynd.xlsx", "A 58668-2024")</f>
        <v/>
      </c>
      <c r="W28">
        <f>HYPERLINK("https://klasma.github.io/Logging_0643/kartor/A 58668-2024 karta.png", "A 58668-2024")</f>
        <v/>
      </c>
      <c r="Y28">
        <f>HYPERLINK("https://klasma.github.io/Logging_0643/klagomål/A 58668-2024 FSC-klagomål.docx", "A 58668-2024")</f>
        <v/>
      </c>
      <c r="Z28">
        <f>HYPERLINK("https://klasma.github.io/Logging_0643/klagomålsmail/A 58668-2024 FSC-klagomål mail.docx", "A 58668-2024")</f>
        <v/>
      </c>
      <c r="AA28">
        <f>HYPERLINK("https://klasma.github.io/Logging_0643/tillsyn/A 58668-2024 tillsynsbegäran.docx", "A 58668-2024")</f>
        <v/>
      </c>
      <c r="AB28">
        <f>HYPERLINK("https://klasma.github.io/Logging_0643/tillsynsmail/A 58668-2024 tillsynsbegäran mail.docx", "A 58668-2024")</f>
        <v/>
      </c>
    </row>
    <row r="29" ht="15" customHeight="1">
      <c r="A29" t="inlineStr">
        <is>
          <t>A 44439-2023</t>
        </is>
      </c>
      <c r="B29" t="inlineStr">
        <is>
          <t>avverkningsanmälan</t>
        </is>
      </c>
      <c r="C29" t="inlineStr">
        <is>
          <t>Föryngringsavverkning</t>
        </is>
      </c>
      <c r="D29" s="1" t="n">
        <v>45183</v>
      </c>
      <c r="E29" s="1" t="n">
        <v>46221</v>
      </c>
      <c r="F29" t="inlineStr">
        <is>
          <t>JÖNKÖPINGS LÄN</t>
        </is>
      </c>
      <c r="G29" t="inlineStr">
        <is>
          <t>HABO</t>
        </is>
      </c>
      <c r="H29" t="inlineStr">
        <is>
          <t>Allmännings- och besparingsskogar</t>
        </is>
      </c>
      <c r="I29" t="n">
        <v>5.3</v>
      </c>
      <c r="J29" t="n">
        <v>0</v>
      </c>
      <c r="K29" t="n">
        <v>0</v>
      </c>
      <c r="L29" t="n">
        <v>1</v>
      </c>
      <c r="M29" t="n">
        <v>0</v>
      </c>
      <c r="N29" t="n">
        <v>0</v>
      </c>
      <c r="O29" t="n">
        <v>0</v>
      </c>
      <c r="P29" t="n">
        <v>0</v>
      </c>
      <c r="Q29" t="n">
        <v>1</v>
      </c>
      <c r="R29" t="n">
        <v>0</v>
      </c>
      <c r="S29" t="n">
        <v>1</v>
      </c>
      <c r="T29" t="n">
        <v>3</v>
      </c>
      <c r="U29" s="2" t="inlineStr">
        <is>
          <t>Motaggsvamp</t>
        </is>
      </c>
      <c r="V29">
        <f>HYPERLINK("https://klasma.github.io/Logging_0643/artfynd/A 44439-2023 artfynd.xlsx", "A 44439-2023")</f>
        <v/>
      </c>
      <c r="W29">
        <f>HYPERLINK("https://klasma.github.io/Logging_0643/kartor/A 44439-2023 karta.png", "A 44439-2023")</f>
        <v/>
      </c>
      <c r="Y29">
        <f>HYPERLINK("https://klasma.github.io/Logging_0643/klagomål/A 44439-2023 FSC-klagomål.docx", "A 44439-2023")</f>
        <v/>
      </c>
      <c r="Z29">
        <f>HYPERLINK("https://klasma.github.io/Logging_0643/klagomålsmail/A 44439-2023 FSC-klagomål mail.docx", "A 44439-2023")</f>
        <v/>
      </c>
      <c r="AA29">
        <f>HYPERLINK("https://klasma.github.io/Logging_0643/tillsyn/A 44439-2023 tillsynsbegäran.docx", "A 44439-2023")</f>
        <v/>
      </c>
      <c r="AB29">
        <f>HYPERLINK("https://klasma.github.io/Logging_0643/tillsynsmail/A 44439-2023 tillsynsbegäran mail.docx", "A 44439-2023")</f>
        <v/>
      </c>
    </row>
    <row r="30" ht="15" customHeight="1">
      <c r="A30" t="inlineStr">
        <is>
          <t>A 28825-2022</t>
        </is>
      </c>
      <c r="B30" t="inlineStr">
        <is>
          <t>avverkningsanmälan</t>
        </is>
      </c>
      <c r="C30" t="inlineStr">
        <is>
          <t>Föryngringsavverkning</t>
        </is>
      </c>
      <c r="D30" s="1" t="n">
        <v>44749</v>
      </c>
      <c r="E30" s="1" t="n">
        <v>46221</v>
      </c>
      <c r="F30" t="inlineStr">
        <is>
          <t>JÖNKÖPINGS LÄN</t>
        </is>
      </c>
      <c r="G30" t="inlineStr">
        <is>
          <t>HABO</t>
        </is>
      </c>
      <c r="I30" t="n">
        <v>1.7</v>
      </c>
      <c r="J30" t="n">
        <v>0</v>
      </c>
      <c r="K30" t="n">
        <v>0</v>
      </c>
      <c r="L30" t="n">
        <v>0</v>
      </c>
      <c r="M30" t="n">
        <v>1</v>
      </c>
      <c r="N30" t="n">
        <v>0</v>
      </c>
      <c r="O30" t="n">
        <v>0</v>
      </c>
      <c r="P30" t="n">
        <v>0</v>
      </c>
      <c r="Q30" t="n">
        <v>1</v>
      </c>
      <c r="R30" t="n">
        <v>1</v>
      </c>
      <c r="S30" t="n">
        <v>1</v>
      </c>
      <c r="T30" t="n">
        <v>1</v>
      </c>
      <c r="U30" s="2" t="inlineStr">
        <is>
          <t>Skrovlig taggsvamp</t>
        </is>
      </c>
      <c r="V30">
        <f>HYPERLINK("https://klasma.github.io/Logging_0643/artfynd/A 28825-2022 artfynd.xlsx", "A 28825-2022")</f>
        <v/>
      </c>
      <c r="W30">
        <f>HYPERLINK("https://klasma.github.io/Logging_0643/kartor/A 28825-2022 karta.png", "A 28825-2022")</f>
        <v/>
      </c>
      <c r="Y30">
        <f>HYPERLINK("https://klasma.github.io/Logging_0643/klagomål/A 28825-2022 FSC-klagomål.docx", "A 28825-2022")</f>
        <v/>
      </c>
      <c r="Z30">
        <f>HYPERLINK("https://klasma.github.io/Logging_0643/klagomålsmail/A 28825-2022 FSC-klagomål mail.docx", "A 28825-2022")</f>
        <v/>
      </c>
      <c r="AA30">
        <f>HYPERLINK("https://klasma.github.io/Logging_0643/tillsyn/A 28825-2022 tillsynsbegäran.docx", "A 28825-2022")</f>
        <v/>
      </c>
      <c r="AB30">
        <f>HYPERLINK("https://klasma.github.io/Logging_0643/tillsynsmail/A 28825-2022 tillsynsbegäran mail.docx", "A 28825-2022")</f>
        <v/>
      </c>
    </row>
    <row r="31" ht="15" customHeight="1">
      <c r="A31" t="inlineStr">
        <is>
          <t>A 35626-2022</t>
        </is>
      </c>
      <c r="B31" t="inlineStr">
        <is>
          <t>avverkningsanmälan</t>
        </is>
      </c>
      <c r="C31" t="inlineStr">
        <is>
          <t>Föryngringsavverkning</t>
        </is>
      </c>
      <c r="D31" s="1" t="n">
        <v>44799</v>
      </c>
      <c r="E31" s="1" t="n">
        <v>46221</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s="2" t="inlineStr">
        <is>
          <t>Ask</t>
        </is>
      </c>
      <c r="V31">
        <f>HYPERLINK("https://klasma.github.io/Logging_0643/artfynd/A 35626-2022 artfynd.xlsx", "A 35626-2022")</f>
        <v/>
      </c>
      <c r="W31">
        <f>HYPERLINK("https://klasma.github.io/Logging_0643/kartor/A 35626-2022 karta.png", "A 35626-2022")</f>
        <v/>
      </c>
      <c r="Y31">
        <f>HYPERLINK("https://klasma.github.io/Logging_0643/klagomål/A 35626-2022 FSC-klagomål.docx", "A 35626-2022")</f>
        <v/>
      </c>
      <c r="Z31">
        <f>HYPERLINK("https://klasma.github.io/Logging_0643/klagomålsmail/A 35626-2022 FSC-klagomål mail.docx", "A 35626-2022")</f>
        <v/>
      </c>
      <c r="AA31">
        <f>HYPERLINK("https://klasma.github.io/Logging_0643/tillsyn/A 35626-2022 tillsynsbegäran.docx", "A 35626-2022")</f>
        <v/>
      </c>
      <c r="AB31">
        <f>HYPERLINK("https://klasma.github.io/Logging_0643/tillsynsmail/A 35626-2022 tillsynsbegäran mail.docx", "A 35626-2022")</f>
        <v/>
      </c>
    </row>
    <row r="32" ht="15" customHeight="1">
      <c r="A32" t="inlineStr">
        <is>
          <t>A 49866-2024</t>
        </is>
      </c>
      <c r="B32" t="inlineStr">
        <is>
          <t>avverkningsanmälan</t>
        </is>
      </c>
      <c r="C32" t="inlineStr">
        <is>
          <t>Avverkning för att bevara och utveckla /försöksver</t>
        </is>
      </c>
      <c r="D32" s="1" t="n">
        <v>45597</v>
      </c>
      <c r="E32" s="1" t="n">
        <v>46221</v>
      </c>
      <c r="F32" t="inlineStr">
        <is>
          <t>JÖNKÖPINGS LÄN</t>
        </is>
      </c>
      <c r="G32" t="inlineStr">
        <is>
          <t>HABO</t>
        </is>
      </c>
      <c r="H32" t="inlineStr">
        <is>
          <t>Sveaskog</t>
        </is>
      </c>
      <c r="I32" t="n">
        <v>0.6</v>
      </c>
      <c r="J32" t="n">
        <v>0</v>
      </c>
      <c r="K32" t="n">
        <v>0</v>
      </c>
      <c r="L32" t="n">
        <v>0</v>
      </c>
      <c r="M32" t="n">
        <v>0</v>
      </c>
      <c r="N32" t="n">
        <v>1</v>
      </c>
      <c r="O32" t="n">
        <v>0</v>
      </c>
      <c r="P32" t="n">
        <v>0</v>
      </c>
      <c r="Q32" t="n">
        <v>1</v>
      </c>
      <c r="R32" t="n">
        <v>1</v>
      </c>
      <c r="S32" t="n">
        <v>1</v>
      </c>
      <c r="T32" t="n">
        <v>8</v>
      </c>
      <c r="U32" s="2" t="inlineStr">
        <is>
          <t>Ask</t>
        </is>
      </c>
      <c r="V32">
        <f>HYPERLINK("https://klasma.github.io/Logging_0643/artfynd/A 49866-2024 artfynd.xlsx", "A 49866-2024")</f>
        <v/>
      </c>
      <c r="W32">
        <f>HYPERLINK("https://klasma.github.io/Logging_0643/kartor/A 49866-2024 karta.png", "A 49866-2024")</f>
        <v/>
      </c>
      <c r="Y32">
        <f>HYPERLINK("https://klasma.github.io/Logging_0643/klagomål/A 49866-2024 FSC-klagomål.docx", "A 49866-2024")</f>
        <v/>
      </c>
      <c r="Z32">
        <f>HYPERLINK("https://klasma.github.io/Logging_0643/klagomålsmail/A 49866-2024 FSC-klagomål mail.docx", "A 49866-2024")</f>
        <v/>
      </c>
      <c r="AA32">
        <f>HYPERLINK("https://klasma.github.io/Logging_0643/tillsyn/A 49866-2024 tillsynsbegäran.docx", "A 49866-2024")</f>
        <v/>
      </c>
      <c r="AB32">
        <f>HYPERLINK("https://klasma.github.io/Logging_0643/tillsynsmail/A 49866-2024 tillsynsbegäran mail.docx", "A 49866-2024")</f>
        <v/>
      </c>
    </row>
    <row r="33" ht="15" customHeight="1">
      <c r="A33" t="inlineStr">
        <is>
          <t>A 15587-2025</t>
        </is>
      </c>
      <c r="B33" t="inlineStr">
        <is>
          <t>avverkningsanmälan</t>
        </is>
      </c>
      <c r="C33" t="inlineStr">
        <is>
          <t>Avverkning för annat ändamål</t>
        </is>
      </c>
      <c r="D33" s="1" t="n">
        <v>45747</v>
      </c>
      <c r="E33" s="1" t="n">
        <v>46221</v>
      </c>
      <c r="F33" t="inlineStr">
        <is>
          <t>JÖNKÖPINGS LÄN</t>
        </is>
      </c>
      <c r="G33" t="inlineStr">
        <is>
          <t>HABO</t>
        </is>
      </c>
      <c r="I33" t="n">
        <v>1.7</v>
      </c>
      <c r="J33" t="n">
        <v>1</v>
      </c>
      <c r="K33" t="n">
        <v>0</v>
      </c>
      <c r="L33" t="n">
        <v>0</v>
      </c>
      <c r="M33" t="n">
        <v>0</v>
      </c>
      <c r="N33" t="n">
        <v>0</v>
      </c>
      <c r="O33" t="n">
        <v>0</v>
      </c>
      <c r="P33" t="n">
        <v>0</v>
      </c>
      <c r="Q33" t="n">
        <v>0</v>
      </c>
      <c r="R33" t="n">
        <v>0</v>
      </c>
      <c r="S33" t="n">
        <v>1</v>
      </c>
      <c r="T33" t="n">
        <v>1</v>
      </c>
      <c r="U33" s="2" t="inlineStr">
        <is>
          <t>Röd glada</t>
        </is>
      </c>
      <c r="V33">
        <f>HYPERLINK("https://klasma.github.io/Logging_0643/artfynd/A 15587-2025 artfynd.xlsx", "A 15587-2025")</f>
        <v/>
      </c>
      <c r="W33">
        <f>HYPERLINK("https://klasma.github.io/Logging_0643/kartor/A 15587-2025 karta.png", "A 15587-2025")</f>
        <v/>
      </c>
      <c r="Y33">
        <f>HYPERLINK("https://klasma.github.io/Logging_0643/klagomål/A 15587-2025 FSC-klagomål.docx", "A 15587-2025")</f>
        <v/>
      </c>
      <c r="Z33">
        <f>HYPERLINK("https://klasma.github.io/Logging_0643/klagomålsmail/A 15587-2025 FSC-klagomål mail.docx", "A 15587-2025")</f>
        <v/>
      </c>
      <c r="AA33">
        <f>HYPERLINK("https://klasma.github.io/Logging_0643/tillsyn/A 15587-2025 tillsynsbegäran.docx", "A 15587-2025")</f>
        <v/>
      </c>
      <c r="AB33">
        <f>HYPERLINK("https://klasma.github.io/Logging_0643/tillsynsmail/A 15587-2025 tillsynsbegäran mail.docx", "A 15587-2025")</f>
        <v/>
      </c>
      <c r="AC33">
        <f>HYPERLINK("https://klasma.github.io/Logging_0643/fåglar/A 15587-2025 prioriterade fågelarter.docx", "A 15587-2025")</f>
        <v/>
      </c>
    </row>
    <row r="34" ht="15" customHeight="1">
      <c r="A34" t="inlineStr">
        <is>
          <t>S 4455-2021</t>
        </is>
      </c>
      <c r="B34" t="inlineStr">
        <is>
          <t>samrådsanmälan</t>
        </is>
      </c>
      <c r="C34" t="inlineStr">
        <is>
          <t>Åtgärd i nyckelbiotop</t>
        </is>
      </c>
      <c r="D34" s="1" t="n">
        <v>44399</v>
      </c>
      <c r="E34" s="1" t="n">
        <v>46221</v>
      </c>
      <c r="F34" t="inlineStr">
        <is>
          <t>JÖNKÖPINGS LÄN</t>
        </is>
      </c>
      <c r="G34" t="inlineStr">
        <is>
          <t>HABO</t>
        </is>
      </c>
      <c r="I34" t="n">
        <v>0</v>
      </c>
      <c r="J34" t="n">
        <v>0</v>
      </c>
      <c r="K34" t="n">
        <v>0</v>
      </c>
      <c r="L34" t="n">
        <v>1</v>
      </c>
      <c r="M34" t="n">
        <v>0</v>
      </c>
      <c r="N34" t="n">
        <v>0</v>
      </c>
      <c r="O34" t="n">
        <v>0</v>
      </c>
      <c r="P34" t="n">
        <v>0</v>
      </c>
      <c r="Q34" t="n">
        <v>1</v>
      </c>
      <c r="R34" t="n">
        <v>0</v>
      </c>
      <c r="S34" t="n">
        <v>1</v>
      </c>
      <c r="T34" t="n">
        <v>1</v>
      </c>
      <c r="U34" s="2" t="inlineStr">
        <is>
          <t>Oxtungssvamp</t>
        </is>
      </c>
      <c r="V34">
        <f>HYPERLINK("https://klasma.github.io/Logging_0643/artfynd/S 4455-2021 artfynd.xlsx", "S 4455-2021")</f>
        <v/>
      </c>
      <c r="W34">
        <f>HYPERLINK("https://klasma.github.io/Logging_0643/kartor/S 4455-2021 karta.png", "S 4455-2021")</f>
        <v/>
      </c>
      <c r="Y34">
        <f>HYPERLINK("https://klasma.github.io/Logging_0643/klagomål/S 4455-2021 FSC-klagomål.docx", "S 4455-2021")</f>
        <v/>
      </c>
      <c r="Z34">
        <f>HYPERLINK("https://klasma.github.io/Logging_0643/klagomålsmail/S 4455-2021 FSC-klagomål mail.docx", "S 4455-2021")</f>
        <v/>
      </c>
      <c r="AA34">
        <f>HYPERLINK("https://klasma.github.io/Logging_0643/tillsyn/S 4455-2021 tillsynsbegäran.docx", "S 4455-2021")</f>
        <v/>
      </c>
      <c r="AB34">
        <f>HYPERLINK("https://klasma.github.io/Logging_0643/tillsynsmail/S 4455-2021 tillsynsbegäran mail.docx", "S 4455-2021")</f>
        <v/>
      </c>
    </row>
    <row r="35" ht="15" customHeight="1">
      <c r="A35" t="inlineStr">
        <is>
          <t>S 636-2024</t>
        </is>
      </c>
      <c r="B35" t="inlineStr">
        <is>
          <t>samrådsanmälan</t>
        </is>
      </c>
      <c r="C35" t="inlineStr">
        <is>
          <t>Skogsgödsling</t>
        </is>
      </c>
      <c r="D35" s="1" t="n">
        <v>45355</v>
      </c>
      <c r="E35" s="1" t="n">
        <v>46221</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s="2" t="inlineStr">
        <is>
          <t>Mosippa</t>
        </is>
      </c>
      <c r="V35">
        <f>HYPERLINK("https://klasma.github.io/Logging_0643/artfynd/S 636-2024 artfynd.xlsx", "S 636-2024")</f>
        <v/>
      </c>
      <c r="W35">
        <f>HYPERLINK("https://klasma.github.io/Logging_0643/kartor/S 636-2024 karta.png", "S 636-2024")</f>
        <v/>
      </c>
      <c r="Y35">
        <f>HYPERLINK("https://klasma.github.io/Logging_0643/klagomål/S 636-2024 FSC-klagomål.docx", "S 636-2024")</f>
        <v/>
      </c>
      <c r="Z35">
        <f>HYPERLINK("https://klasma.github.io/Logging_0643/klagomålsmail/S 636-2024 FSC-klagomål mail.docx", "S 636-2024")</f>
        <v/>
      </c>
      <c r="AA35">
        <f>HYPERLINK("https://klasma.github.io/Logging_0643/tillsyn/S 636-2024 tillsynsbegäran.docx", "S 636-2024")</f>
        <v/>
      </c>
      <c r="AB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46221</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s="2" t="inlineStr"/>
    </row>
    <row r="37" ht="15" customHeight="1">
      <c r="A37" t="inlineStr">
        <is>
          <t>A 68331-2021</t>
        </is>
      </c>
      <c r="B37" t="inlineStr">
        <is>
          <t>avverkningsanmälan</t>
        </is>
      </c>
      <c r="C37" t="inlineStr">
        <is>
          <t>Föryngringsavverkning</t>
        </is>
      </c>
      <c r="D37" s="1" t="n">
        <v>44527</v>
      </c>
      <c r="E37" s="1" t="n">
        <v>46221</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s="2" t="inlineStr"/>
    </row>
    <row r="38" ht="15" customHeight="1">
      <c r="A38" t="inlineStr">
        <is>
          <t>A 49577-2021</t>
        </is>
      </c>
      <c r="B38" t="inlineStr">
        <is>
          <t>avverkningsanmälan</t>
        </is>
      </c>
      <c r="C38" t="inlineStr">
        <is>
          <t>Föryngringsavverkning</t>
        </is>
      </c>
      <c r="D38" s="1" t="n">
        <v>44455</v>
      </c>
      <c r="E38" s="1" t="n">
        <v>46221</v>
      </c>
      <c r="F38" t="inlineStr">
        <is>
          <t>JÖNKÖPINGS LÄN</t>
        </is>
      </c>
      <c r="G38" t="inlineStr">
        <is>
          <t>HABO</t>
        </is>
      </c>
      <c r="I38" t="n">
        <v>1.4</v>
      </c>
      <c r="J38" t="n">
        <v>0</v>
      </c>
      <c r="K38" t="n">
        <v>0</v>
      </c>
      <c r="L38" t="n">
        <v>0</v>
      </c>
      <c r="M38" t="n">
        <v>0</v>
      </c>
      <c r="N38" t="n">
        <v>0</v>
      </c>
      <c r="O38" t="n">
        <v>0</v>
      </c>
      <c r="P38" t="n">
        <v>0</v>
      </c>
      <c r="Q38" t="n">
        <v>0</v>
      </c>
      <c r="R38" t="n">
        <v>0</v>
      </c>
      <c r="S38" t="n">
        <v>0</v>
      </c>
      <c r="T38" t="n">
        <v>0</v>
      </c>
      <c r="U38" s="2" t="inlineStr"/>
    </row>
    <row r="39" ht="15" customHeight="1">
      <c r="A39" t="inlineStr">
        <is>
          <t>A 31112-2022</t>
        </is>
      </c>
      <c r="B39" t="inlineStr">
        <is>
          <t>avverkningsanmälan</t>
        </is>
      </c>
      <c r="C39" t="inlineStr">
        <is>
          <t>Föryngringsavverkning</t>
        </is>
      </c>
      <c r="D39" s="1" t="n">
        <v>44769</v>
      </c>
      <c r="E39" s="1" t="n">
        <v>46221</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s="2" t="inlineStr"/>
    </row>
    <row r="40" ht="15" customHeight="1">
      <c r="A40" t="inlineStr">
        <is>
          <t>A 45803-2022</t>
        </is>
      </c>
      <c r="B40" t="inlineStr">
        <is>
          <t>avverkningsanmälan</t>
        </is>
      </c>
      <c r="C40" t="inlineStr">
        <is>
          <t>Föryngringsavverkning</t>
        </is>
      </c>
      <c r="D40" s="1" t="n">
        <v>44846</v>
      </c>
      <c r="E40" s="1" t="n">
        <v>46221</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s="2" t="inlineStr"/>
    </row>
    <row r="41" ht="15" customHeight="1">
      <c r="A41" t="inlineStr">
        <is>
          <t>A 41211-2021</t>
        </is>
      </c>
      <c r="B41" t="inlineStr">
        <is>
          <t>avverkningsanmälan</t>
        </is>
      </c>
      <c r="C41" t="inlineStr">
        <is>
          <t>Föryngringsavverkning</t>
        </is>
      </c>
      <c r="D41" s="1" t="n">
        <v>44424</v>
      </c>
      <c r="E41" s="1" t="n">
        <v>46221</v>
      </c>
      <c r="F41" t="inlineStr">
        <is>
          <t>JÖNKÖPINGS LÄN</t>
        </is>
      </c>
      <c r="G41" t="inlineStr">
        <is>
          <t>HABO</t>
        </is>
      </c>
      <c r="I41" t="n">
        <v>4</v>
      </c>
      <c r="J41" t="n">
        <v>0</v>
      </c>
      <c r="K41" t="n">
        <v>0</v>
      </c>
      <c r="L41" t="n">
        <v>0</v>
      </c>
      <c r="M41" t="n">
        <v>0</v>
      </c>
      <c r="N41" t="n">
        <v>0</v>
      </c>
      <c r="O41" t="n">
        <v>0</v>
      </c>
      <c r="P41" t="n">
        <v>0</v>
      </c>
      <c r="Q41" t="n">
        <v>0</v>
      </c>
      <c r="R41" t="n">
        <v>0</v>
      </c>
      <c r="S41" t="n">
        <v>0</v>
      </c>
      <c r="T41" t="n">
        <v>0</v>
      </c>
      <c r="U41" s="2" t="inlineStr"/>
    </row>
    <row r="42" ht="15" customHeight="1">
      <c r="A42" t="inlineStr">
        <is>
          <t>A 41217-2021</t>
        </is>
      </c>
      <c r="B42" t="inlineStr">
        <is>
          <t>avverkningsanmälan</t>
        </is>
      </c>
      <c r="C42" t="inlineStr">
        <is>
          <t>Föryngringsavverkning</t>
        </is>
      </c>
      <c r="D42" s="1" t="n">
        <v>44424</v>
      </c>
      <c r="E42" s="1" t="n">
        <v>46221</v>
      </c>
      <c r="F42" t="inlineStr">
        <is>
          <t>JÖNKÖPINGS LÄN</t>
        </is>
      </c>
      <c r="G42" t="inlineStr">
        <is>
          <t>HABO</t>
        </is>
      </c>
      <c r="I42" t="n">
        <v>3.9</v>
      </c>
      <c r="J42" t="n">
        <v>0</v>
      </c>
      <c r="K42" t="n">
        <v>0</v>
      </c>
      <c r="L42" t="n">
        <v>0</v>
      </c>
      <c r="M42" t="n">
        <v>0</v>
      </c>
      <c r="N42" t="n">
        <v>0</v>
      </c>
      <c r="O42" t="n">
        <v>0</v>
      </c>
      <c r="P42" t="n">
        <v>0</v>
      </c>
      <c r="Q42" t="n">
        <v>0</v>
      </c>
      <c r="R42" t="n">
        <v>0</v>
      </c>
      <c r="S42" t="n">
        <v>0</v>
      </c>
      <c r="T42" t="n">
        <v>0</v>
      </c>
      <c r="U42" s="2" t="inlineStr"/>
    </row>
    <row r="43" ht="15" customHeight="1">
      <c r="A43" t="inlineStr">
        <is>
          <t>A 19569-2022</t>
        </is>
      </c>
      <c r="B43" t="inlineStr">
        <is>
          <t>avverkningsanmälan</t>
        </is>
      </c>
      <c r="C43" t="inlineStr">
        <is>
          <t>Föryngringsavverkning</t>
        </is>
      </c>
      <c r="D43" s="1" t="n">
        <v>44693</v>
      </c>
      <c r="E43" s="1" t="n">
        <v>46221</v>
      </c>
      <c r="F43" t="inlineStr">
        <is>
          <t>JÖNKÖPINGS LÄN</t>
        </is>
      </c>
      <c r="G43" t="inlineStr">
        <is>
          <t>HABO</t>
        </is>
      </c>
      <c r="I43" t="n">
        <v>1.4</v>
      </c>
      <c r="J43" t="n">
        <v>0</v>
      </c>
      <c r="K43" t="n">
        <v>0</v>
      </c>
      <c r="L43" t="n">
        <v>0</v>
      </c>
      <c r="M43" t="n">
        <v>0</v>
      </c>
      <c r="N43" t="n">
        <v>0</v>
      </c>
      <c r="O43" t="n">
        <v>0</v>
      </c>
      <c r="P43" t="n">
        <v>0</v>
      </c>
      <c r="Q43" t="n">
        <v>0</v>
      </c>
      <c r="R43" t="n">
        <v>0</v>
      </c>
      <c r="S43" t="n">
        <v>0</v>
      </c>
      <c r="T43" t="n">
        <v>0</v>
      </c>
      <c r="U43" s="2" t="inlineStr"/>
    </row>
    <row r="44" ht="15" customHeight="1">
      <c r="A44" t="inlineStr">
        <is>
          <t>A 53301-2022</t>
        </is>
      </c>
      <c r="B44" t="inlineStr">
        <is>
          <t>avverkningsanmälan</t>
        </is>
      </c>
      <c r="C44" t="inlineStr">
        <is>
          <t>Föryngringsavverkning</t>
        </is>
      </c>
      <c r="D44" s="1" t="n">
        <v>44877</v>
      </c>
      <c r="E44" s="1" t="n">
        <v>46221</v>
      </c>
      <c r="F44" t="inlineStr">
        <is>
          <t>JÖNKÖPINGS LÄN</t>
        </is>
      </c>
      <c r="G44" t="inlineStr">
        <is>
          <t>HABO</t>
        </is>
      </c>
      <c r="I44" t="n">
        <v>0.6</v>
      </c>
      <c r="J44" t="n">
        <v>0</v>
      </c>
      <c r="K44" t="n">
        <v>0</v>
      </c>
      <c r="L44" t="n">
        <v>0</v>
      </c>
      <c r="M44" t="n">
        <v>0</v>
      </c>
      <c r="N44" t="n">
        <v>0</v>
      </c>
      <c r="O44" t="n">
        <v>0</v>
      </c>
      <c r="P44" t="n">
        <v>0</v>
      </c>
      <c r="Q44" t="n">
        <v>0</v>
      </c>
      <c r="R44" t="n">
        <v>0</v>
      </c>
      <c r="S44" t="n">
        <v>0</v>
      </c>
      <c r="T44" t="n">
        <v>0</v>
      </c>
      <c r="U44" s="2" t="inlineStr"/>
    </row>
    <row r="45" ht="15" customHeight="1">
      <c r="A45" t="inlineStr">
        <is>
          <t>A 19570-2022</t>
        </is>
      </c>
      <c r="B45" t="inlineStr">
        <is>
          <t>avverkningsanmälan</t>
        </is>
      </c>
      <c r="C45" t="inlineStr">
        <is>
          <t>Föryngringsavverkning</t>
        </is>
      </c>
      <c r="D45" s="1" t="n">
        <v>44693</v>
      </c>
      <c r="E45" s="1" t="n">
        <v>46221</v>
      </c>
      <c r="F45" t="inlineStr">
        <is>
          <t>JÖNKÖPINGS LÄN</t>
        </is>
      </c>
      <c r="G45" t="inlineStr">
        <is>
          <t>HABO</t>
        </is>
      </c>
      <c r="I45" t="n">
        <v>1.1</v>
      </c>
      <c r="J45" t="n">
        <v>0</v>
      </c>
      <c r="K45" t="n">
        <v>0</v>
      </c>
      <c r="L45" t="n">
        <v>0</v>
      </c>
      <c r="M45" t="n">
        <v>0</v>
      </c>
      <c r="N45" t="n">
        <v>0</v>
      </c>
      <c r="O45" t="n">
        <v>0</v>
      </c>
      <c r="P45" t="n">
        <v>0</v>
      </c>
      <c r="Q45" t="n">
        <v>0</v>
      </c>
      <c r="R45" t="n">
        <v>0</v>
      </c>
      <c r="S45" t="n">
        <v>0</v>
      </c>
      <c r="T45" t="n">
        <v>0</v>
      </c>
      <c r="U45" s="2" t="inlineStr"/>
    </row>
    <row r="46" ht="15" customHeight="1">
      <c r="A46" t="inlineStr">
        <is>
          <t>A 12592-2022</t>
        </is>
      </c>
      <c r="B46" t="inlineStr">
        <is>
          <t>avverkningsanmälan</t>
        </is>
      </c>
      <c r="C46" t="inlineStr">
        <is>
          <t>Föryngringsavverkning</t>
        </is>
      </c>
      <c r="D46" s="1" t="n">
        <v>44640</v>
      </c>
      <c r="E46" s="1" t="n">
        <v>46221</v>
      </c>
      <c r="F46" t="inlineStr">
        <is>
          <t>JÖNKÖPINGS LÄN</t>
        </is>
      </c>
      <c r="G46" t="inlineStr">
        <is>
          <t>HABO</t>
        </is>
      </c>
      <c r="I46" t="n">
        <v>1.7</v>
      </c>
      <c r="J46" t="n">
        <v>0</v>
      </c>
      <c r="K46" t="n">
        <v>0</v>
      </c>
      <c r="L46" t="n">
        <v>0</v>
      </c>
      <c r="M46" t="n">
        <v>0</v>
      </c>
      <c r="N46" t="n">
        <v>0</v>
      </c>
      <c r="O46" t="n">
        <v>0</v>
      </c>
      <c r="P46" t="n">
        <v>0</v>
      </c>
      <c r="Q46" t="n">
        <v>0</v>
      </c>
      <c r="R46" t="n">
        <v>0</v>
      </c>
      <c r="S46" t="n">
        <v>0</v>
      </c>
      <c r="T46" t="n">
        <v>0</v>
      </c>
      <c r="U46" s="2" t="inlineStr"/>
    </row>
    <row r="47" ht="15" customHeight="1">
      <c r="A47" t="inlineStr">
        <is>
          <t>A 41213-2021</t>
        </is>
      </c>
      <c r="B47" t="inlineStr">
        <is>
          <t>avverkningsanmälan</t>
        </is>
      </c>
      <c r="C47" t="inlineStr">
        <is>
          <t>Föryngringsavverkning</t>
        </is>
      </c>
      <c r="D47" s="1" t="n">
        <v>44424</v>
      </c>
      <c r="E47" s="1" t="n">
        <v>46221</v>
      </c>
      <c r="F47" t="inlineStr">
        <is>
          <t>JÖNKÖPINGS LÄN</t>
        </is>
      </c>
      <c r="G47" t="inlineStr">
        <is>
          <t>HABO</t>
        </is>
      </c>
      <c r="I47" t="n">
        <v>2.1</v>
      </c>
      <c r="J47" t="n">
        <v>0</v>
      </c>
      <c r="K47" t="n">
        <v>0</v>
      </c>
      <c r="L47" t="n">
        <v>0</v>
      </c>
      <c r="M47" t="n">
        <v>0</v>
      </c>
      <c r="N47" t="n">
        <v>0</v>
      </c>
      <c r="O47" t="n">
        <v>0</v>
      </c>
      <c r="P47" t="n">
        <v>0</v>
      </c>
      <c r="Q47" t="n">
        <v>0</v>
      </c>
      <c r="R47" t="n">
        <v>0</v>
      </c>
      <c r="S47" t="n">
        <v>0</v>
      </c>
      <c r="T47" t="n">
        <v>0</v>
      </c>
      <c r="U47" s="2" t="inlineStr"/>
    </row>
    <row r="48" ht="15" customHeight="1">
      <c r="A48" t="inlineStr">
        <is>
          <t>A 41216-2021</t>
        </is>
      </c>
      <c r="B48" t="inlineStr">
        <is>
          <t>avverkningsanmälan</t>
        </is>
      </c>
      <c r="C48" t="inlineStr">
        <is>
          <t>Föryngringsavverkning</t>
        </is>
      </c>
      <c r="D48" s="1" t="n">
        <v>44424</v>
      </c>
      <c r="E48" s="1" t="n">
        <v>46221</v>
      </c>
      <c r="F48" t="inlineStr">
        <is>
          <t>JÖNKÖPINGS LÄN</t>
        </is>
      </c>
      <c r="G48" t="inlineStr">
        <is>
          <t>HABO</t>
        </is>
      </c>
      <c r="I48" t="n">
        <v>3</v>
      </c>
      <c r="J48" t="n">
        <v>0</v>
      </c>
      <c r="K48" t="n">
        <v>0</v>
      </c>
      <c r="L48" t="n">
        <v>0</v>
      </c>
      <c r="M48" t="n">
        <v>0</v>
      </c>
      <c r="N48" t="n">
        <v>0</v>
      </c>
      <c r="O48" t="n">
        <v>0</v>
      </c>
      <c r="P48" t="n">
        <v>0</v>
      </c>
      <c r="Q48" t="n">
        <v>0</v>
      </c>
      <c r="R48" t="n">
        <v>0</v>
      </c>
      <c r="S48" t="n">
        <v>0</v>
      </c>
      <c r="T48" t="n">
        <v>0</v>
      </c>
      <c r="U48" s="2" t="inlineStr"/>
    </row>
    <row r="49" ht="15" customHeight="1">
      <c r="A49" t="inlineStr">
        <is>
          <t>A 42361-2021</t>
        </is>
      </c>
      <c r="B49" t="inlineStr">
        <is>
          <t>avverkningsanmälan</t>
        </is>
      </c>
      <c r="C49" t="inlineStr">
        <is>
          <t>Föryngringsavverkning</t>
        </is>
      </c>
      <c r="D49" s="1" t="n">
        <v>44427</v>
      </c>
      <c r="E49" s="1" t="n">
        <v>46221</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s="2" t="inlineStr"/>
    </row>
    <row r="50" ht="15" customHeight="1">
      <c r="A50" t="inlineStr">
        <is>
          <t>A 16307-2022</t>
        </is>
      </c>
      <c r="B50" t="inlineStr">
        <is>
          <t>avverkningsanmälan</t>
        </is>
      </c>
      <c r="C50" t="inlineStr">
        <is>
          <t>Föryngringsavverkning</t>
        </is>
      </c>
      <c r="D50" s="1" t="n">
        <v>44670</v>
      </c>
      <c r="E50" s="1" t="n">
        <v>46221</v>
      </c>
      <c r="F50" t="inlineStr">
        <is>
          <t>JÖNKÖPINGS LÄN</t>
        </is>
      </c>
      <c r="G50" t="inlineStr">
        <is>
          <t>HABO</t>
        </is>
      </c>
      <c r="I50" t="n">
        <v>5.7</v>
      </c>
      <c r="J50" t="n">
        <v>0</v>
      </c>
      <c r="K50" t="n">
        <v>0</v>
      </c>
      <c r="L50" t="n">
        <v>0</v>
      </c>
      <c r="M50" t="n">
        <v>0</v>
      </c>
      <c r="N50" t="n">
        <v>0</v>
      </c>
      <c r="O50" t="n">
        <v>0</v>
      </c>
      <c r="P50" t="n">
        <v>0</v>
      </c>
      <c r="Q50" t="n">
        <v>0</v>
      </c>
      <c r="R50" t="n">
        <v>0</v>
      </c>
      <c r="S50" t="n">
        <v>0</v>
      </c>
      <c r="T50" t="n">
        <v>0</v>
      </c>
      <c r="U50" s="2" t="inlineStr"/>
    </row>
    <row r="51" ht="15" customHeight="1">
      <c r="A51" t="inlineStr">
        <is>
          <t>A 48739-2022</t>
        </is>
      </c>
      <c r="B51" t="inlineStr">
        <is>
          <t>avverkningsanmälan</t>
        </is>
      </c>
      <c r="C51" t="inlineStr">
        <is>
          <t>Avverkning för annat ändamål</t>
        </is>
      </c>
      <c r="D51" s="1" t="n">
        <v>44859</v>
      </c>
      <c r="E51" s="1" t="n">
        <v>46221</v>
      </c>
      <c r="F51" t="inlineStr">
        <is>
          <t>JÖNKÖPINGS LÄN</t>
        </is>
      </c>
      <c r="G51" t="inlineStr">
        <is>
          <t>HABO</t>
        </is>
      </c>
      <c r="I51" t="n">
        <v>0.2</v>
      </c>
      <c r="J51" t="n">
        <v>0</v>
      </c>
      <c r="K51" t="n">
        <v>0</v>
      </c>
      <c r="L51" t="n">
        <v>0</v>
      </c>
      <c r="M51" t="n">
        <v>0</v>
      </c>
      <c r="N51" t="n">
        <v>0</v>
      </c>
      <c r="O51" t="n">
        <v>0</v>
      </c>
      <c r="P51" t="n">
        <v>0</v>
      </c>
      <c r="Q51" t="n">
        <v>0</v>
      </c>
      <c r="R51" t="n">
        <v>0</v>
      </c>
      <c r="S51" t="n">
        <v>0</v>
      </c>
      <c r="T51" t="n">
        <v>0</v>
      </c>
      <c r="U51" s="2" t="inlineStr"/>
    </row>
    <row r="52" ht="15" customHeight="1">
      <c r="A52" t="inlineStr">
        <is>
          <t>A 24701-2022</t>
        </is>
      </c>
      <c r="B52" t="inlineStr">
        <is>
          <t>avverkningsanmälan</t>
        </is>
      </c>
      <c r="C52" t="inlineStr">
        <is>
          <t>Föryngringsavverkning</t>
        </is>
      </c>
      <c r="D52" s="1" t="n">
        <v>44727</v>
      </c>
      <c r="E52" s="1" t="n">
        <v>46221</v>
      </c>
      <c r="F52" t="inlineStr">
        <is>
          <t>JÖNKÖPINGS LÄN</t>
        </is>
      </c>
      <c r="G52" t="inlineStr">
        <is>
          <t>HABO</t>
        </is>
      </c>
      <c r="I52" t="n">
        <v>12.4</v>
      </c>
      <c r="J52" t="n">
        <v>0</v>
      </c>
      <c r="K52" t="n">
        <v>0</v>
      </c>
      <c r="L52" t="n">
        <v>0</v>
      </c>
      <c r="M52" t="n">
        <v>0</v>
      </c>
      <c r="N52" t="n">
        <v>0</v>
      </c>
      <c r="O52" t="n">
        <v>0</v>
      </c>
      <c r="P52" t="n">
        <v>0</v>
      </c>
      <c r="Q52" t="n">
        <v>0</v>
      </c>
      <c r="R52" t="n">
        <v>0</v>
      </c>
      <c r="S52" t="n">
        <v>0</v>
      </c>
      <c r="T52" t="n">
        <v>0</v>
      </c>
      <c r="U52" s="2" t="inlineStr"/>
    </row>
    <row r="53" ht="15" customHeight="1">
      <c r="A53" t="inlineStr">
        <is>
          <t>A 61399-2021</t>
        </is>
      </c>
      <c r="B53" t="inlineStr">
        <is>
          <t>avverkningsanmälan</t>
        </is>
      </c>
      <c r="C53" t="inlineStr">
        <is>
          <t>Avverkning för annat ändamål</t>
        </is>
      </c>
      <c r="D53" s="1" t="n">
        <v>44500</v>
      </c>
      <c r="E53" s="1" t="n">
        <v>46221</v>
      </c>
      <c r="F53" t="inlineStr">
        <is>
          <t>JÖNKÖPINGS LÄN</t>
        </is>
      </c>
      <c r="G53" t="inlineStr">
        <is>
          <t>HABO</t>
        </is>
      </c>
      <c r="I53" t="n">
        <v>0.3</v>
      </c>
      <c r="J53" t="n">
        <v>0</v>
      </c>
      <c r="K53" t="n">
        <v>0</v>
      </c>
      <c r="L53" t="n">
        <v>0</v>
      </c>
      <c r="M53" t="n">
        <v>0</v>
      </c>
      <c r="N53" t="n">
        <v>0</v>
      </c>
      <c r="O53" t="n">
        <v>0</v>
      </c>
      <c r="P53" t="n">
        <v>0</v>
      </c>
      <c r="Q53" t="n">
        <v>0</v>
      </c>
      <c r="R53" t="n">
        <v>0</v>
      </c>
      <c r="S53" t="n">
        <v>0</v>
      </c>
      <c r="T53" t="n">
        <v>0</v>
      </c>
      <c r="U53" s="2" t="inlineStr"/>
    </row>
    <row r="54" ht="15" customHeight="1">
      <c r="A54" t="inlineStr">
        <is>
          <t>A 45684-2021</t>
        </is>
      </c>
      <c r="B54" t="inlineStr">
        <is>
          <t>avverkningsanmälan</t>
        </is>
      </c>
      <c r="C54" t="inlineStr">
        <is>
          <t>Avverkning för annat ändamål</t>
        </is>
      </c>
      <c r="D54" s="1" t="n">
        <v>44441</v>
      </c>
      <c r="E54" s="1" t="n">
        <v>46221</v>
      </c>
      <c r="F54" t="inlineStr">
        <is>
          <t>JÖNKÖPINGS LÄN</t>
        </is>
      </c>
      <c r="G54" t="inlineStr">
        <is>
          <t>HABO</t>
        </is>
      </c>
      <c r="I54" t="n">
        <v>0.4</v>
      </c>
      <c r="J54" t="n">
        <v>0</v>
      </c>
      <c r="K54" t="n">
        <v>0</v>
      </c>
      <c r="L54" t="n">
        <v>0</v>
      </c>
      <c r="M54" t="n">
        <v>0</v>
      </c>
      <c r="N54" t="n">
        <v>0</v>
      </c>
      <c r="O54" t="n">
        <v>0</v>
      </c>
      <c r="P54" t="n">
        <v>0</v>
      </c>
      <c r="Q54" t="n">
        <v>0</v>
      </c>
      <c r="R54" t="n">
        <v>0</v>
      </c>
      <c r="S54" t="n">
        <v>0</v>
      </c>
      <c r="T54" t="n">
        <v>0</v>
      </c>
      <c r="U54" s="2" t="inlineStr"/>
    </row>
    <row r="55" ht="15" customHeight="1">
      <c r="A55" t="inlineStr">
        <is>
          <t>A 41226-2021</t>
        </is>
      </c>
      <c r="B55" t="inlineStr">
        <is>
          <t>avverkningsanmälan</t>
        </is>
      </c>
      <c r="C55" t="inlineStr">
        <is>
          <t>Föryngringsavverkning</t>
        </is>
      </c>
      <c r="D55" s="1" t="n">
        <v>44424</v>
      </c>
      <c r="E55" s="1" t="n">
        <v>46221</v>
      </c>
      <c r="F55" t="inlineStr">
        <is>
          <t>JÖNKÖPINGS LÄN</t>
        </is>
      </c>
      <c r="G55" t="inlineStr">
        <is>
          <t>HABO</t>
        </is>
      </c>
      <c r="I55" t="n">
        <v>0.5</v>
      </c>
      <c r="J55" t="n">
        <v>0</v>
      </c>
      <c r="K55" t="n">
        <v>0</v>
      </c>
      <c r="L55" t="n">
        <v>0</v>
      </c>
      <c r="M55" t="n">
        <v>0</v>
      </c>
      <c r="N55" t="n">
        <v>0</v>
      </c>
      <c r="O55" t="n">
        <v>0</v>
      </c>
      <c r="P55" t="n">
        <v>0</v>
      </c>
      <c r="Q55" t="n">
        <v>0</v>
      </c>
      <c r="R55" t="n">
        <v>0</v>
      </c>
      <c r="S55" t="n">
        <v>0</v>
      </c>
      <c r="T55" t="n">
        <v>0</v>
      </c>
      <c r="U55" s="2" t="inlineStr"/>
    </row>
    <row r="56" ht="15" customHeight="1">
      <c r="A56" t="inlineStr">
        <is>
          <t>A 53914-2021</t>
        </is>
      </c>
      <c r="B56" t="inlineStr">
        <is>
          <t>avverkningsanmälan</t>
        </is>
      </c>
      <c r="C56" t="inlineStr">
        <is>
          <t>Föryngringsavverkning</t>
        </is>
      </c>
      <c r="D56" s="1" t="n">
        <v>44469</v>
      </c>
      <c r="E56" s="1" t="n">
        <v>46221</v>
      </c>
      <c r="F56" t="inlineStr">
        <is>
          <t>JÖNKÖPINGS LÄN</t>
        </is>
      </c>
      <c r="G56" t="inlineStr">
        <is>
          <t>HABO</t>
        </is>
      </c>
      <c r="I56" t="n">
        <v>1.2</v>
      </c>
      <c r="J56" t="n">
        <v>0</v>
      </c>
      <c r="K56" t="n">
        <v>0</v>
      </c>
      <c r="L56" t="n">
        <v>0</v>
      </c>
      <c r="M56" t="n">
        <v>0</v>
      </c>
      <c r="N56" t="n">
        <v>0</v>
      </c>
      <c r="O56" t="n">
        <v>0</v>
      </c>
      <c r="P56" t="n">
        <v>0</v>
      </c>
      <c r="Q56" t="n">
        <v>0</v>
      </c>
      <c r="R56" t="n">
        <v>0</v>
      </c>
      <c r="S56" t="n">
        <v>0</v>
      </c>
      <c r="T56" t="n">
        <v>0</v>
      </c>
      <c r="U56" s="2" t="inlineStr"/>
    </row>
    <row r="57" ht="15" customHeight="1">
      <c r="A57" t="inlineStr">
        <is>
          <t>A 10432-2022</t>
        </is>
      </c>
      <c r="B57" t="inlineStr">
        <is>
          <t>avverkningsanmälan</t>
        </is>
      </c>
      <c r="C57" t="inlineStr">
        <is>
          <t>Föryngringsavverkning</t>
        </is>
      </c>
      <c r="D57" s="1" t="n">
        <v>44623</v>
      </c>
      <c r="E57" s="1" t="n">
        <v>46221</v>
      </c>
      <c r="F57" t="inlineStr">
        <is>
          <t>JÖNKÖPINGS LÄN</t>
        </is>
      </c>
      <c r="G57" t="inlineStr">
        <is>
          <t>HABO</t>
        </is>
      </c>
      <c r="I57" t="n">
        <v>1.6</v>
      </c>
      <c r="J57" t="n">
        <v>0</v>
      </c>
      <c r="K57" t="n">
        <v>0</v>
      </c>
      <c r="L57" t="n">
        <v>0</v>
      </c>
      <c r="M57" t="n">
        <v>0</v>
      </c>
      <c r="N57" t="n">
        <v>0</v>
      </c>
      <c r="O57" t="n">
        <v>0</v>
      </c>
      <c r="P57" t="n">
        <v>0</v>
      </c>
      <c r="Q57" t="n">
        <v>0</v>
      </c>
      <c r="R57" t="n">
        <v>0</v>
      </c>
      <c r="S57" t="n">
        <v>0</v>
      </c>
      <c r="T57" t="n">
        <v>0</v>
      </c>
      <c r="U57" s="2" t="inlineStr"/>
    </row>
    <row r="58" ht="15" customHeight="1">
      <c r="A58" t="inlineStr">
        <is>
          <t>A 35574-2022</t>
        </is>
      </c>
      <c r="B58" t="inlineStr">
        <is>
          <t>avverkningsanmälan</t>
        </is>
      </c>
      <c r="C58" t="inlineStr">
        <is>
          <t>Föryngringsavverkning</t>
        </is>
      </c>
      <c r="D58" s="1" t="n">
        <v>44799</v>
      </c>
      <c r="E58" s="1" t="n">
        <v>46221</v>
      </c>
      <c r="F58" t="inlineStr">
        <is>
          <t>JÖNKÖPINGS LÄN</t>
        </is>
      </c>
      <c r="G58" t="inlineStr">
        <is>
          <t>HABO</t>
        </is>
      </c>
      <c r="I58" t="n">
        <v>3.3</v>
      </c>
      <c r="J58" t="n">
        <v>0</v>
      </c>
      <c r="K58" t="n">
        <v>0</v>
      </c>
      <c r="L58" t="n">
        <v>0</v>
      </c>
      <c r="M58" t="n">
        <v>0</v>
      </c>
      <c r="N58" t="n">
        <v>0</v>
      </c>
      <c r="O58" t="n">
        <v>0</v>
      </c>
      <c r="P58" t="n">
        <v>0</v>
      </c>
      <c r="Q58" t="n">
        <v>0</v>
      </c>
      <c r="R58" t="n">
        <v>0</v>
      </c>
      <c r="S58" t="n">
        <v>0</v>
      </c>
      <c r="T58" t="n">
        <v>0</v>
      </c>
      <c r="U58" s="2" t="inlineStr"/>
    </row>
    <row r="59" ht="15" customHeight="1">
      <c r="A59" t="inlineStr">
        <is>
          <t>A 47532-2023</t>
        </is>
      </c>
      <c r="B59" t="inlineStr">
        <is>
          <t>avverkningsanmälan</t>
        </is>
      </c>
      <c r="C59" t="inlineStr">
        <is>
          <t>Föryngringsavverkning</t>
        </is>
      </c>
      <c r="D59" s="1" t="n">
        <v>45203</v>
      </c>
      <c r="E59" s="1" t="n">
        <v>46221</v>
      </c>
      <c r="F59" t="inlineStr">
        <is>
          <t>JÖNKÖPINGS LÄN</t>
        </is>
      </c>
      <c r="G59" t="inlineStr">
        <is>
          <t>HABO</t>
        </is>
      </c>
      <c r="I59" t="n">
        <v>2.5</v>
      </c>
      <c r="J59" t="n">
        <v>0</v>
      </c>
      <c r="K59" t="n">
        <v>0</v>
      </c>
      <c r="L59" t="n">
        <v>0</v>
      </c>
      <c r="M59" t="n">
        <v>0</v>
      </c>
      <c r="N59" t="n">
        <v>0</v>
      </c>
      <c r="O59" t="n">
        <v>0</v>
      </c>
      <c r="P59" t="n">
        <v>0</v>
      </c>
      <c r="Q59" t="n">
        <v>0</v>
      </c>
      <c r="R59" t="n">
        <v>0</v>
      </c>
      <c r="S59" t="n">
        <v>0</v>
      </c>
      <c r="T59" t="n">
        <v>0</v>
      </c>
      <c r="U59" s="2" t="inlineStr"/>
    </row>
    <row r="60" ht="15" customHeight="1">
      <c r="A60" t="inlineStr">
        <is>
          <t>A 6230-2025</t>
        </is>
      </c>
      <c r="B60" t="inlineStr">
        <is>
          <t>avverkningsanmälan</t>
        </is>
      </c>
      <c r="C60" t="inlineStr">
        <is>
          <t>Föryngringsavverkning</t>
        </is>
      </c>
      <c r="D60" s="1" t="n">
        <v>45698</v>
      </c>
      <c r="E60" s="1" t="n">
        <v>46221</v>
      </c>
      <c r="F60" t="inlineStr">
        <is>
          <t>JÖNKÖPINGS LÄN</t>
        </is>
      </c>
      <c r="G60" t="inlineStr">
        <is>
          <t>HABO</t>
        </is>
      </c>
      <c r="I60" t="n">
        <v>1.3</v>
      </c>
      <c r="J60" t="n">
        <v>0</v>
      </c>
      <c r="K60" t="n">
        <v>0</v>
      </c>
      <c r="L60" t="n">
        <v>0</v>
      </c>
      <c r="M60" t="n">
        <v>0</v>
      </c>
      <c r="N60" t="n">
        <v>0</v>
      </c>
      <c r="O60" t="n">
        <v>0</v>
      </c>
      <c r="P60" t="n">
        <v>0</v>
      </c>
      <c r="Q60" t="n">
        <v>0</v>
      </c>
      <c r="R60" t="n">
        <v>0</v>
      </c>
      <c r="S60" t="n">
        <v>0</v>
      </c>
      <c r="T60" t="n">
        <v>0</v>
      </c>
      <c r="U60" s="2" t="inlineStr"/>
    </row>
    <row r="61" ht="15" customHeight="1">
      <c r="A61" t="inlineStr">
        <is>
          <t>A 6233-2025</t>
        </is>
      </c>
      <c r="B61" t="inlineStr">
        <is>
          <t>avverkningsanmälan</t>
        </is>
      </c>
      <c r="C61" t="inlineStr">
        <is>
          <t>Föryngringsavverkning</t>
        </is>
      </c>
      <c r="D61" s="1" t="n">
        <v>45698</v>
      </c>
      <c r="E61" s="1" t="n">
        <v>46221</v>
      </c>
      <c r="F61" t="inlineStr">
        <is>
          <t>JÖNKÖPINGS LÄN</t>
        </is>
      </c>
      <c r="G61" t="inlineStr">
        <is>
          <t>HABO</t>
        </is>
      </c>
      <c r="I61" t="n">
        <v>0.4</v>
      </c>
      <c r="J61" t="n">
        <v>0</v>
      </c>
      <c r="K61" t="n">
        <v>0</v>
      </c>
      <c r="L61" t="n">
        <v>0</v>
      </c>
      <c r="M61" t="n">
        <v>0</v>
      </c>
      <c r="N61" t="n">
        <v>0</v>
      </c>
      <c r="O61" t="n">
        <v>0</v>
      </c>
      <c r="P61" t="n">
        <v>0</v>
      </c>
      <c r="Q61" t="n">
        <v>0</v>
      </c>
      <c r="R61" t="n">
        <v>0</v>
      </c>
      <c r="S61" t="n">
        <v>0</v>
      </c>
      <c r="T61" t="n">
        <v>0</v>
      </c>
      <c r="U61" s="2" t="inlineStr"/>
    </row>
    <row r="62" ht="15" customHeight="1">
      <c r="A62" t="inlineStr">
        <is>
          <t>A 51027-2023</t>
        </is>
      </c>
      <c r="B62" t="inlineStr">
        <is>
          <t>avverkningsanmälan</t>
        </is>
      </c>
      <c r="C62" t="inlineStr">
        <is>
          <t>Föryngringsavverkning</t>
        </is>
      </c>
      <c r="D62" s="1" t="n">
        <v>45218</v>
      </c>
      <c r="E62" s="1" t="n">
        <v>46221</v>
      </c>
      <c r="F62" t="inlineStr">
        <is>
          <t>JÖNKÖPINGS LÄN</t>
        </is>
      </c>
      <c r="G62" t="inlineStr">
        <is>
          <t>HABO</t>
        </is>
      </c>
      <c r="I62" t="n">
        <v>3.5</v>
      </c>
      <c r="J62" t="n">
        <v>0</v>
      </c>
      <c r="K62" t="n">
        <v>0</v>
      </c>
      <c r="L62" t="n">
        <v>0</v>
      </c>
      <c r="M62" t="n">
        <v>0</v>
      </c>
      <c r="N62" t="n">
        <v>0</v>
      </c>
      <c r="O62" t="n">
        <v>0</v>
      </c>
      <c r="P62" t="n">
        <v>0</v>
      </c>
      <c r="Q62" t="n">
        <v>0</v>
      </c>
      <c r="R62" t="n">
        <v>0</v>
      </c>
      <c r="S62" t="n">
        <v>0</v>
      </c>
      <c r="T62" t="n">
        <v>0</v>
      </c>
      <c r="U62" s="2" t="inlineStr"/>
    </row>
    <row r="63" ht="15" customHeight="1">
      <c r="A63" t="inlineStr">
        <is>
          <t>A 9931-2024</t>
        </is>
      </c>
      <c r="B63" t="inlineStr">
        <is>
          <t>avverkningsanmälan</t>
        </is>
      </c>
      <c r="C63" t="inlineStr">
        <is>
          <t>Föryngringsavverkning</t>
        </is>
      </c>
      <c r="D63" s="1" t="n">
        <v>45363</v>
      </c>
      <c r="E63" s="1" t="n">
        <v>46221</v>
      </c>
      <c r="F63" t="inlineStr">
        <is>
          <t>JÖNKÖPINGS LÄN</t>
        </is>
      </c>
      <c r="G63" t="inlineStr">
        <is>
          <t>HABO</t>
        </is>
      </c>
      <c r="I63" t="n">
        <v>1.1</v>
      </c>
      <c r="J63" t="n">
        <v>0</v>
      </c>
      <c r="K63" t="n">
        <v>0</v>
      </c>
      <c r="L63" t="n">
        <v>0</v>
      </c>
      <c r="M63" t="n">
        <v>0</v>
      </c>
      <c r="N63" t="n">
        <v>0</v>
      </c>
      <c r="O63" t="n">
        <v>0</v>
      </c>
      <c r="P63" t="n">
        <v>0</v>
      </c>
      <c r="Q63" t="n">
        <v>0</v>
      </c>
      <c r="R63" t="n">
        <v>0</v>
      </c>
      <c r="S63" t="n">
        <v>0</v>
      </c>
      <c r="T63" t="n">
        <v>0</v>
      </c>
      <c r="U63" s="2" t="inlineStr"/>
    </row>
    <row r="64" ht="15" customHeight="1">
      <c r="A64" t="inlineStr">
        <is>
          <t>A 28685-2024</t>
        </is>
      </c>
      <c r="B64" t="inlineStr">
        <is>
          <t>avverkningsanmälan</t>
        </is>
      </c>
      <c r="C64" t="inlineStr">
        <is>
          <t>Föryngringsavverkning</t>
        </is>
      </c>
      <c r="D64" s="1" t="n">
        <v>45478</v>
      </c>
      <c r="E64" s="1" t="n">
        <v>46221</v>
      </c>
      <c r="F64" t="inlineStr">
        <is>
          <t>JÖNKÖPINGS LÄN</t>
        </is>
      </c>
      <c r="G64" t="inlineStr">
        <is>
          <t>HABO</t>
        </is>
      </c>
      <c r="I64" t="n">
        <v>0.7</v>
      </c>
      <c r="J64" t="n">
        <v>0</v>
      </c>
      <c r="K64" t="n">
        <v>0</v>
      </c>
      <c r="L64" t="n">
        <v>0</v>
      </c>
      <c r="M64" t="n">
        <v>0</v>
      </c>
      <c r="N64" t="n">
        <v>0</v>
      </c>
      <c r="O64" t="n">
        <v>0</v>
      </c>
      <c r="P64" t="n">
        <v>0</v>
      </c>
      <c r="Q64" t="n">
        <v>0</v>
      </c>
      <c r="R64" t="n">
        <v>0</v>
      </c>
      <c r="S64" t="n">
        <v>0</v>
      </c>
      <c r="T64" t="n">
        <v>0</v>
      </c>
      <c r="U64" s="2" t="inlineStr"/>
    </row>
    <row r="65" ht="15" customHeight="1">
      <c r="A65" t="inlineStr">
        <is>
          <t>A 23145-2024</t>
        </is>
      </c>
      <c r="B65" t="inlineStr">
        <is>
          <t>avverkningsanmälan</t>
        </is>
      </c>
      <c r="C65" t="inlineStr">
        <is>
          <t>Föryngringsavverkning</t>
        </is>
      </c>
      <c r="D65" s="1" t="n">
        <v>45450</v>
      </c>
      <c r="E65" s="1" t="n">
        <v>46221</v>
      </c>
      <c r="F65" t="inlineStr">
        <is>
          <t>JÖNKÖPINGS LÄN</t>
        </is>
      </c>
      <c r="G65" t="inlineStr">
        <is>
          <t>HABO</t>
        </is>
      </c>
      <c r="I65" t="n">
        <v>1</v>
      </c>
      <c r="J65" t="n">
        <v>0</v>
      </c>
      <c r="K65" t="n">
        <v>0</v>
      </c>
      <c r="L65" t="n">
        <v>0</v>
      </c>
      <c r="M65" t="n">
        <v>0</v>
      </c>
      <c r="N65" t="n">
        <v>0</v>
      </c>
      <c r="O65" t="n">
        <v>0</v>
      </c>
      <c r="P65" t="n">
        <v>0</v>
      </c>
      <c r="Q65" t="n">
        <v>0</v>
      </c>
      <c r="R65" t="n">
        <v>0</v>
      </c>
      <c r="S65" t="n">
        <v>0</v>
      </c>
      <c r="T65" t="n">
        <v>0</v>
      </c>
      <c r="U65" s="2" t="inlineStr"/>
    </row>
    <row r="66" ht="15" customHeight="1">
      <c r="A66" t="inlineStr">
        <is>
          <t>A 23156-2024</t>
        </is>
      </c>
      <c r="B66" t="inlineStr">
        <is>
          <t>avverkningsanmälan</t>
        </is>
      </c>
      <c r="C66" t="inlineStr">
        <is>
          <t>Föryngringsavverkning</t>
        </is>
      </c>
      <c r="D66" s="1" t="n">
        <v>45450</v>
      </c>
      <c r="E66" s="1" t="n">
        <v>46221</v>
      </c>
      <c r="F66" t="inlineStr">
        <is>
          <t>JÖNKÖPINGS LÄN</t>
        </is>
      </c>
      <c r="G66" t="inlineStr">
        <is>
          <t>HABO</t>
        </is>
      </c>
      <c r="I66" t="n">
        <v>7.5</v>
      </c>
      <c r="J66" t="n">
        <v>0</v>
      </c>
      <c r="K66" t="n">
        <v>0</v>
      </c>
      <c r="L66" t="n">
        <v>0</v>
      </c>
      <c r="M66" t="n">
        <v>0</v>
      </c>
      <c r="N66" t="n">
        <v>0</v>
      </c>
      <c r="O66" t="n">
        <v>0</v>
      </c>
      <c r="P66" t="n">
        <v>0</v>
      </c>
      <c r="Q66" t="n">
        <v>0</v>
      </c>
      <c r="R66" t="n">
        <v>0</v>
      </c>
      <c r="S66" t="n">
        <v>0</v>
      </c>
      <c r="T66" t="n">
        <v>0</v>
      </c>
      <c r="U66" s="2" t="inlineStr"/>
    </row>
    <row r="67" ht="15" customHeight="1">
      <c r="A67" t="inlineStr">
        <is>
          <t>A 13850-2024</t>
        </is>
      </c>
      <c r="B67" t="inlineStr">
        <is>
          <t>avverkningsanmälan</t>
        </is>
      </c>
      <c r="C67" t="inlineStr">
        <is>
          <t>Föryngringsavverkning</t>
        </is>
      </c>
      <c r="D67" s="1" t="n">
        <v>45390</v>
      </c>
      <c r="E67" s="1" t="n">
        <v>46221</v>
      </c>
      <c r="F67" t="inlineStr">
        <is>
          <t>JÖNKÖPINGS LÄN</t>
        </is>
      </c>
      <c r="G67" t="inlineStr">
        <is>
          <t>HABO</t>
        </is>
      </c>
      <c r="I67" t="n">
        <v>4.6</v>
      </c>
      <c r="J67" t="n">
        <v>0</v>
      </c>
      <c r="K67" t="n">
        <v>0</v>
      </c>
      <c r="L67" t="n">
        <v>0</v>
      </c>
      <c r="M67" t="n">
        <v>0</v>
      </c>
      <c r="N67" t="n">
        <v>0</v>
      </c>
      <c r="O67" t="n">
        <v>0</v>
      </c>
      <c r="P67" t="n">
        <v>0</v>
      </c>
      <c r="Q67" t="n">
        <v>0</v>
      </c>
      <c r="R67" t="n">
        <v>0</v>
      </c>
      <c r="S67" t="n">
        <v>0</v>
      </c>
      <c r="T67" t="n">
        <v>0</v>
      </c>
      <c r="U67" s="2" t="inlineStr"/>
    </row>
    <row r="68" ht="15" customHeight="1">
      <c r="A68" t="inlineStr">
        <is>
          <t>A 48894-2024</t>
        </is>
      </c>
      <c r="B68" t="inlineStr">
        <is>
          <t>avverkningsanmälan</t>
        </is>
      </c>
      <c r="C68" t="inlineStr">
        <is>
          <t>Föryngringsavverkning</t>
        </is>
      </c>
      <c r="D68" s="1" t="n">
        <v>45594</v>
      </c>
      <c r="E68" s="1" t="n">
        <v>46221</v>
      </c>
      <c r="F68" t="inlineStr">
        <is>
          <t>JÖNKÖPINGS LÄN</t>
        </is>
      </c>
      <c r="G68" t="inlineStr">
        <is>
          <t>HABO</t>
        </is>
      </c>
      <c r="I68" t="n">
        <v>1</v>
      </c>
      <c r="J68" t="n">
        <v>0</v>
      </c>
      <c r="K68" t="n">
        <v>0</v>
      </c>
      <c r="L68" t="n">
        <v>0</v>
      </c>
      <c r="M68" t="n">
        <v>0</v>
      </c>
      <c r="N68" t="n">
        <v>0</v>
      </c>
      <c r="O68" t="n">
        <v>0</v>
      </c>
      <c r="P68" t="n">
        <v>0</v>
      </c>
      <c r="Q68" t="n">
        <v>0</v>
      </c>
      <c r="R68" t="n">
        <v>0</v>
      </c>
      <c r="S68" t="n">
        <v>0</v>
      </c>
      <c r="T68" t="n">
        <v>0</v>
      </c>
      <c r="U68" s="2" t="inlineStr"/>
    </row>
    <row r="69" ht="15" customHeight="1">
      <c r="A69" t="inlineStr">
        <is>
          <t>A 26774-2024</t>
        </is>
      </c>
      <c r="B69" t="inlineStr">
        <is>
          <t>avverkningsanmälan</t>
        </is>
      </c>
      <c r="C69" t="inlineStr">
        <is>
          <t>Föryngringsavverkning</t>
        </is>
      </c>
      <c r="D69" s="1" t="n">
        <v>45469</v>
      </c>
      <c r="E69" s="1" t="n">
        <v>46221</v>
      </c>
      <c r="F69" t="inlineStr">
        <is>
          <t>JÖNKÖPINGS LÄN</t>
        </is>
      </c>
      <c r="G69" t="inlineStr">
        <is>
          <t>HABO</t>
        </is>
      </c>
      <c r="I69" t="n">
        <v>0.6</v>
      </c>
      <c r="J69" t="n">
        <v>0</v>
      </c>
      <c r="K69" t="n">
        <v>0</v>
      </c>
      <c r="L69" t="n">
        <v>0</v>
      </c>
      <c r="M69" t="n">
        <v>0</v>
      </c>
      <c r="N69" t="n">
        <v>0</v>
      </c>
      <c r="O69" t="n">
        <v>0</v>
      </c>
      <c r="P69" t="n">
        <v>0</v>
      </c>
      <c r="Q69" t="n">
        <v>0</v>
      </c>
      <c r="R69" t="n">
        <v>0</v>
      </c>
      <c r="S69" t="n">
        <v>0</v>
      </c>
      <c r="T69" t="n">
        <v>0</v>
      </c>
      <c r="U69" s="2" t="inlineStr"/>
    </row>
    <row r="70" ht="15" customHeight="1">
      <c r="A70" t="inlineStr">
        <is>
          <t>A 2073-2023</t>
        </is>
      </c>
      <c r="B70" t="inlineStr">
        <is>
          <t>avverkningsanmälan</t>
        </is>
      </c>
      <c r="C70" t="inlineStr">
        <is>
          <t>Föryngringsavverkning</t>
        </is>
      </c>
      <c r="D70" s="1" t="n">
        <v>44939</v>
      </c>
      <c r="E70" s="1" t="n">
        <v>46221</v>
      </c>
      <c r="F70" t="inlineStr">
        <is>
          <t>JÖNKÖPINGS LÄN</t>
        </is>
      </c>
      <c r="G70" t="inlineStr">
        <is>
          <t>HABO</t>
        </is>
      </c>
      <c r="I70" t="n">
        <v>4.3</v>
      </c>
      <c r="J70" t="n">
        <v>0</v>
      </c>
      <c r="K70" t="n">
        <v>0</v>
      </c>
      <c r="L70" t="n">
        <v>0</v>
      </c>
      <c r="M70" t="n">
        <v>0</v>
      </c>
      <c r="N70" t="n">
        <v>0</v>
      </c>
      <c r="O70" t="n">
        <v>0</v>
      </c>
      <c r="P70" t="n">
        <v>0</v>
      </c>
      <c r="Q70" t="n">
        <v>0</v>
      </c>
      <c r="R70" t="n">
        <v>0</v>
      </c>
      <c r="S70" t="n">
        <v>0</v>
      </c>
      <c r="T70" t="n">
        <v>0</v>
      </c>
      <c r="U70" s="2" t="inlineStr"/>
    </row>
    <row r="71" ht="15" customHeight="1">
      <c r="A71" t="inlineStr">
        <is>
          <t>A 54990-2024</t>
        </is>
      </c>
      <c r="B71" t="inlineStr">
        <is>
          <t>avverkningsanmälan</t>
        </is>
      </c>
      <c r="C71" t="inlineStr">
        <is>
          <t>Föryngringsavverkning</t>
        </is>
      </c>
      <c r="D71" s="1" t="n">
        <v>45620</v>
      </c>
      <c r="E71" s="1" t="n">
        <v>46221</v>
      </c>
      <c r="F71" t="inlineStr">
        <is>
          <t>JÖNKÖPINGS LÄN</t>
        </is>
      </c>
      <c r="G71" t="inlineStr">
        <is>
          <t>HABO</t>
        </is>
      </c>
      <c r="I71" t="n">
        <v>0.9</v>
      </c>
      <c r="J71" t="n">
        <v>0</v>
      </c>
      <c r="K71" t="n">
        <v>0</v>
      </c>
      <c r="L71" t="n">
        <v>0</v>
      </c>
      <c r="M71" t="n">
        <v>0</v>
      </c>
      <c r="N71" t="n">
        <v>0</v>
      </c>
      <c r="O71" t="n">
        <v>0</v>
      </c>
      <c r="P71" t="n">
        <v>0</v>
      </c>
      <c r="Q71" t="n">
        <v>0</v>
      </c>
      <c r="R71" t="n">
        <v>0</v>
      </c>
      <c r="S71" t="n">
        <v>0</v>
      </c>
      <c r="T71" t="n">
        <v>0</v>
      </c>
      <c r="U71" s="2" t="inlineStr"/>
    </row>
    <row r="72" ht="15" customHeight="1">
      <c r="A72" t="inlineStr">
        <is>
          <t>A 57755-2023</t>
        </is>
      </c>
      <c r="B72" t="inlineStr">
        <is>
          <t>avverkningsanmälan</t>
        </is>
      </c>
      <c r="C72" t="inlineStr">
        <is>
          <t>Föryngringsavverkning</t>
        </is>
      </c>
      <c r="D72" s="1" t="n">
        <v>45246</v>
      </c>
      <c r="E72" s="1" t="n">
        <v>46221</v>
      </c>
      <c r="F72" t="inlineStr">
        <is>
          <t>JÖNKÖPINGS LÄN</t>
        </is>
      </c>
      <c r="G72" t="inlineStr">
        <is>
          <t>HABO</t>
        </is>
      </c>
      <c r="I72" t="n">
        <v>2.9</v>
      </c>
      <c r="J72" t="n">
        <v>0</v>
      </c>
      <c r="K72" t="n">
        <v>0</v>
      </c>
      <c r="L72" t="n">
        <v>0</v>
      </c>
      <c r="M72" t="n">
        <v>0</v>
      </c>
      <c r="N72" t="n">
        <v>0</v>
      </c>
      <c r="O72" t="n">
        <v>0</v>
      </c>
      <c r="P72" t="n">
        <v>0</v>
      </c>
      <c r="Q72" t="n">
        <v>0</v>
      </c>
      <c r="R72" t="n">
        <v>0</v>
      </c>
      <c r="S72" t="n">
        <v>0</v>
      </c>
      <c r="T72" t="n">
        <v>0</v>
      </c>
      <c r="U72" s="2" t="inlineStr"/>
    </row>
    <row r="73" ht="15" customHeight="1">
      <c r="A73" t="inlineStr">
        <is>
          <t>A 58673-2024</t>
        </is>
      </c>
      <c r="B73" t="inlineStr">
        <is>
          <t>avverkningsanmälan</t>
        </is>
      </c>
      <c r="C73" t="inlineStr">
        <is>
          <t>Föryngringsavverkning</t>
        </is>
      </c>
      <c r="D73" s="1" t="n">
        <v>45635</v>
      </c>
      <c r="E73" s="1" t="n">
        <v>46221</v>
      </c>
      <c r="F73" t="inlineStr">
        <is>
          <t>JÖNKÖPINGS LÄN</t>
        </is>
      </c>
      <c r="G73" t="inlineStr">
        <is>
          <t>HABO</t>
        </is>
      </c>
      <c r="I73" t="n">
        <v>0.4</v>
      </c>
      <c r="J73" t="n">
        <v>0</v>
      </c>
      <c r="K73" t="n">
        <v>0</v>
      </c>
      <c r="L73" t="n">
        <v>0</v>
      </c>
      <c r="M73" t="n">
        <v>0</v>
      </c>
      <c r="N73" t="n">
        <v>0</v>
      </c>
      <c r="O73" t="n">
        <v>0</v>
      </c>
      <c r="P73" t="n">
        <v>0</v>
      </c>
      <c r="Q73" t="n">
        <v>0</v>
      </c>
      <c r="R73" t="n">
        <v>0</v>
      </c>
      <c r="S73" t="n">
        <v>0</v>
      </c>
      <c r="T73" t="n">
        <v>0</v>
      </c>
      <c r="U73" s="2" t="inlineStr"/>
    </row>
    <row r="74" ht="15" customHeight="1">
      <c r="A74" t="inlineStr">
        <is>
          <t>A 49855-2024</t>
        </is>
      </c>
      <c r="B74" t="inlineStr">
        <is>
          <t>avverkningsanmälan</t>
        </is>
      </c>
      <c r="C74" t="inlineStr">
        <is>
          <t>Föryngringsavverkning</t>
        </is>
      </c>
      <c r="D74" s="1" t="n">
        <v>45597</v>
      </c>
      <c r="E74" s="1" t="n">
        <v>46221</v>
      </c>
      <c r="F74" t="inlineStr">
        <is>
          <t>JÖNKÖPINGS LÄN</t>
        </is>
      </c>
      <c r="G74" t="inlineStr">
        <is>
          <t>HABO</t>
        </is>
      </c>
      <c r="H74" t="inlineStr">
        <is>
          <t>Sveaskog</t>
        </is>
      </c>
      <c r="I74" t="n">
        <v>1.1</v>
      </c>
      <c r="J74" t="n">
        <v>0</v>
      </c>
      <c r="K74" t="n">
        <v>0</v>
      </c>
      <c r="L74" t="n">
        <v>0</v>
      </c>
      <c r="M74" t="n">
        <v>0</v>
      </c>
      <c r="N74" t="n">
        <v>0</v>
      </c>
      <c r="O74" t="n">
        <v>0</v>
      </c>
      <c r="P74" t="n">
        <v>0</v>
      </c>
      <c r="Q74" t="n">
        <v>0</v>
      </c>
      <c r="R74" t="n">
        <v>0</v>
      </c>
      <c r="S74" t="n">
        <v>0</v>
      </c>
      <c r="T74" t="n">
        <v>0</v>
      </c>
      <c r="U74" s="2" t="inlineStr"/>
    </row>
    <row r="75" ht="15" customHeight="1">
      <c r="A75" t="inlineStr">
        <is>
          <t>A 61580-2024</t>
        </is>
      </c>
      <c r="B75" t="inlineStr">
        <is>
          <t>avverkningsanmälan</t>
        </is>
      </c>
      <c r="C75" t="inlineStr">
        <is>
          <t>Föryngringsavverkning</t>
        </is>
      </c>
      <c r="D75" s="1" t="n">
        <v>45646</v>
      </c>
      <c r="E75" s="1" t="n">
        <v>46221</v>
      </c>
      <c r="F75" t="inlineStr">
        <is>
          <t>JÖNKÖPINGS LÄN</t>
        </is>
      </c>
      <c r="G75" t="inlineStr">
        <is>
          <t>HABO</t>
        </is>
      </c>
      <c r="I75" t="n">
        <v>2.1</v>
      </c>
      <c r="J75" t="n">
        <v>0</v>
      </c>
      <c r="K75" t="n">
        <v>0</v>
      </c>
      <c r="L75" t="n">
        <v>0</v>
      </c>
      <c r="M75" t="n">
        <v>0</v>
      </c>
      <c r="N75" t="n">
        <v>0</v>
      </c>
      <c r="O75" t="n">
        <v>0</v>
      </c>
      <c r="P75" t="n">
        <v>0</v>
      </c>
      <c r="Q75" t="n">
        <v>0</v>
      </c>
      <c r="R75" t="n">
        <v>0</v>
      </c>
      <c r="S75" t="n">
        <v>0</v>
      </c>
      <c r="T75" t="n">
        <v>0</v>
      </c>
      <c r="U75" s="2" t="inlineStr"/>
    </row>
    <row r="76" ht="15" customHeight="1">
      <c r="A76" t="inlineStr">
        <is>
          <t>A 58452-2021</t>
        </is>
      </c>
      <c r="B76" t="inlineStr">
        <is>
          <t>avverkningsanmälan</t>
        </is>
      </c>
      <c r="C76" t="inlineStr">
        <is>
          <t>Föryngringsavverkning</t>
        </is>
      </c>
      <c r="D76" s="1" t="n">
        <v>44488</v>
      </c>
      <c r="E76" s="1" t="n">
        <v>46221</v>
      </c>
      <c r="F76" t="inlineStr">
        <is>
          <t>JÖNKÖPINGS LÄN</t>
        </is>
      </c>
      <c r="G76" t="inlineStr">
        <is>
          <t>HABO</t>
        </is>
      </c>
      <c r="I76" t="n">
        <v>2.1</v>
      </c>
      <c r="J76" t="n">
        <v>0</v>
      </c>
      <c r="K76" t="n">
        <v>0</v>
      </c>
      <c r="L76" t="n">
        <v>0</v>
      </c>
      <c r="M76" t="n">
        <v>0</v>
      </c>
      <c r="N76" t="n">
        <v>0</v>
      </c>
      <c r="O76" t="n">
        <v>0</v>
      </c>
      <c r="P76" t="n">
        <v>0</v>
      </c>
      <c r="Q76" t="n">
        <v>0</v>
      </c>
      <c r="R76" t="n">
        <v>0</v>
      </c>
      <c r="S76" t="n">
        <v>0</v>
      </c>
      <c r="T76" t="n">
        <v>0</v>
      </c>
      <c r="U76" s="2" t="inlineStr"/>
    </row>
    <row r="77" ht="15" customHeight="1">
      <c r="A77" t="inlineStr">
        <is>
          <t>A 58458-2021</t>
        </is>
      </c>
      <c r="B77" t="inlineStr">
        <is>
          <t>avverkningsanmälan</t>
        </is>
      </c>
      <c r="C77" t="inlineStr">
        <is>
          <t>Föryngringsavverkning</t>
        </is>
      </c>
      <c r="D77" s="1" t="n">
        <v>44488</v>
      </c>
      <c r="E77" s="1" t="n">
        <v>46221</v>
      </c>
      <c r="F77" t="inlineStr">
        <is>
          <t>JÖNKÖPINGS LÄN</t>
        </is>
      </c>
      <c r="G77" t="inlineStr">
        <is>
          <t>HABO</t>
        </is>
      </c>
      <c r="I77" t="n">
        <v>1.5</v>
      </c>
      <c r="J77" t="n">
        <v>0</v>
      </c>
      <c r="K77" t="n">
        <v>0</v>
      </c>
      <c r="L77" t="n">
        <v>0</v>
      </c>
      <c r="M77" t="n">
        <v>0</v>
      </c>
      <c r="N77" t="n">
        <v>0</v>
      </c>
      <c r="O77" t="n">
        <v>0</v>
      </c>
      <c r="P77" t="n">
        <v>0</v>
      </c>
      <c r="Q77" t="n">
        <v>0</v>
      </c>
      <c r="R77" t="n">
        <v>0</v>
      </c>
      <c r="S77" t="n">
        <v>0</v>
      </c>
      <c r="T77" t="n">
        <v>0</v>
      </c>
      <c r="U77" s="2" t="inlineStr"/>
    </row>
    <row r="78" ht="15" customHeight="1">
      <c r="A78" t="inlineStr">
        <is>
          <t>A 41622-2024</t>
        </is>
      </c>
      <c r="B78" t="inlineStr">
        <is>
          <t>avverkningsanmälan</t>
        </is>
      </c>
      <c r="C78" t="inlineStr">
        <is>
          <t>Föryngringsavverkning</t>
        </is>
      </c>
      <c r="D78" s="1" t="n">
        <v>45560</v>
      </c>
      <c r="E78" s="1" t="n">
        <v>46221</v>
      </c>
      <c r="F78" t="inlineStr">
        <is>
          <t>JÖNKÖPINGS LÄN</t>
        </is>
      </c>
      <c r="G78" t="inlineStr">
        <is>
          <t>HABO</t>
        </is>
      </c>
      <c r="I78" t="n">
        <v>1.7</v>
      </c>
      <c r="J78" t="n">
        <v>0</v>
      </c>
      <c r="K78" t="n">
        <v>0</v>
      </c>
      <c r="L78" t="n">
        <v>0</v>
      </c>
      <c r="M78" t="n">
        <v>0</v>
      </c>
      <c r="N78" t="n">
        <v>0</v>
      </c>
      <c r="O78" t="n">
        <v>0</v>
      </c>
      <c r="P78" t="n">
        <v>0</v>
      </c>
      <c r="Q78" t="n">
        <v>0</v>
      </c>
      <c r="R78" t="n">
        <v>0</v>
      </c>
      <c r="S78" t="n">
        <v>0</v>
      </c>
      <c r="T78" t="n">
        <v>0</v>
      </c>
      <c r="U78" s="2" t="inlineStr"/>
    </row>
    <row r="79" ht="15" customHeight="1">
      <c r="A79" t="inlineStr">
        <is>
          <t>A 58452-2021</t>
        </is>
      </c>
      <c r="B79" t="inlineStr">
        <is>
          <t>avverkningsanmälan</t>
        </is>
      </c>
      <c r="C79" t="inlineStr">
        <is>
          <t>Föryngringsavverkning</t>
        </is>
      </c>
      <c r="D79" s="1" t="n">
        <v>44488</v>
      </c>
      <c r="E79" s="1" t="n">
        <v>46221</v>
      </c>
      <c r="F79" t="inlineStr">
        <is>
          <t>JÖNKÖPINGS LÄN</t>
        </is>
      </c>
      <c r="G79" t="inlineStr">
        <is>
          <t>HABO</t>
        </is>
      </c>
      <c r="I79" t="n">
        <v>2.1</v>
      </c>
      <c r="J79" t="n">
        <v>0</v>
      </c>
      <c r="K79" t="n">
        <v>0</v>
      </c>
      <c r="L79" t="n">
        <v>0</v>
      </c>
      <c r="M79" t="n">
        <v>0</v>
      </c>
      <c r="N79" t="n">
        <v>0</v>
      </c>
      <c r="O79" t="n">
        <v>0</v>
      </c>
      <c r="P79" t="n">
        <v>0</v>
      </c>
      <c r="Q79" t="n">
        <v>0</v>
      </c>
      <c r="R79" t="n">
        <v>0</v>
      </c>
      <c r="S79" t="n">
        <v>0</v>
      </c>
      <c r="T79" t="n">
        <v>0</v>
      </c>
      <c r="U79" s="2" t="inlineStr"/>
    </row>
    <row r="80" ht="15" customHeight="1">
      <c r="A80" t="inlineStr">
        <is>
          <t>A 3282-2026</t>
        </is>
      </c>
      <c r="B80" t="inlineStr">
        <is>
          <t>avverkningsanmälan</t>
        </is>
      </c>
      <c r="C80" t="inlineStr">
        <is>
          <t>Föryngringsavverkning</t>
        </is>
      </c>
      <c r="D80" s="1" t="n">
        <v>46041</v>
      </c>
      <c r="E80" s="1" t="n">
        <v>46221</v>
      </c>
      <c r="F80" t="inlineStr">
        <is>
          <t>JÖNKÖPINGS LÄN</t>
        </is>
      </c>
      <c r="G80" t="inlineStr">
        <is>
          <t>HABO</t>
        </is>
      </c>
      <c r="I80" t="n">
        <v>0.8</v>
      </c>
      <c r="J80" t="n">
        <v>0</v>
      </c>
      <c r="K80" t="n">
        <v>0</v>
      </c>
      <c r="L80" t="n">
        <v>0</v>
      </c>
      <c r="M80" t="n">
        <v>0</v>
      </c>
      <c r="N80" t="n">
        <v>0</v>
      </c>
      <c r="O80" t="n">
        <v>0</v>
      </c>
      <c r="P80" t="n">
        <v>0</v>
      </c>
      <c r="Q80" t="n">
        <v>0</v>
      </c>
      <c r="R80" t="n">
        <v>0</v>
      </c>
      <c r="S80" t="n">
        <v>0</v>
      </c>
      <c r="T80" t="n">
        <v>0</v>
      </c>
      <c r="U80" s="2" t="inlineStr"/>
    </row>
    <row r="81" ht="15" customHeight="1">
      <c r="A81" t="inlineStr">
        <is>
          <t>A 26519-2025</t>
        </is>
      </c>
      <c r="B81" t="inlineStr">
        <is>
          <t>avverkningsanmälan</t>
        </is>
      </c>
      <c r="C81" t="inlineStr">
        <is>
          <t>Föryngringsavverkning</t>
        </is>
      </c>
      <c r="D81" s="1" t="n">
        <v>45807</v>
      </c>
      <c r="E81" s="1" t="n">
        <v>46221</v>
      </c>
      <c r="F81" t="inlineStr">
        <is>
          <t>JÖNKÖPINGS LÄN</t>
        </is>
      </c>
      <c r="G81" t="inlineStr">
        <is>
          <t>HABO</t>
        </is>
      </c>
      <c r="I81" t="n">
        <v>0.7</v>
      </c>
      <c r="J81" t="n">
        <v>0</v>
      </c>
      <c r="K81" t="n">
        <v>0</v>
      </c>
      <c r="L81" t="n">
        <v>0</v>
      </c>
      <c r="M81" t="n">
        <v>0</v>
      </c>
      <c r="N81" t="n">
        <v>0</v>
      </c>
      <c r="O81" t="n">
        <v>0</v>
      </c>
      <c r="P81" t="n">
        <v>0</v>
      </c>
      <c r="Q81" t="n">
        <v>0</v>
      </c>
      <c r="R81" t="n">
        <v>0</v>
      </c>
      <c r="S81" t="n">
        <v>0</v>
      </c>
      <c r="T81" t="n">
        <v>0</v>
      </c>
      <c r="U81" s="2" t="inlineStr"/>
    </row>
    <row r="82" ht="15" customHeight="1">
      <c r="A82" t="inlineStr">
        <is>
          <t>A 2861-2025</t>
        </is>
      </c>
      <c r="B82" t="inlineStr">
        <is>
          <t>avverkningsanmälan</t>
        </is>
      </c>
      <c r="C82" t="inlineStr">
        <is>
          <t>Föryngringsavverkning</t>
        </is>
      </c>
      <c r="D82" s="1" t="n">
        <v>45677</v>
      </c>
      <c r="E82" s="1" t="n">
        <v>46221</v>
      </c>
      <c r="F82" t="inlineStr">
        <is>
          <t>JÖNKÖPINGS LÄN</t>
        </is>
      </c>
      <c r="G82" t="inlineStr">
        <is>
          <t>HABO</t>
        </is>
      </c>
      <c r="I82" t="n">
        <v>0</v>
      </c>
      <c r="J82" t="n">
        <v>0</v>
      </c>
      <c r="K82" t="n">
        <v>0</v>
      </c>
      <c r="L82" t="n">
        <v>0</v>
      </c>
      <c r="M82" t="n">
        <v>0</v>
      </c>
      <c r="N82" t="n">
        <v>0</v>
      </c>
      <c r="O82" t="n">
        <v>0</v>
      </c>
      <c r="P82" t="n">
        <v>0</v>
      </c>
      <c r="Q82" t="n">
        <v>0</v>
      </c>
      <c r="R82" t="n">
        <v>0</v>
      </c>
      <c r="S82" t="n">
        <v>0</v>
      </c>
      <c r="T82" t="n">
        <v>0</v>
      </c>
      <c r="U82" s="2" t="inlineStr"/>
    </row>
    <row r="83" ht="15" customHeight="1">
      <c r="A83" t="inlineStr">
        <is>
          <t>A 11075-2022</t>
        </is>
      </c>
      <c r="B83" t="inlineStr">
        <is>
          <t>avverkningsanmälan</t>
        </is>
      </c>
      <c r="C83" t="inlineStr">
        <is>
          <t>Föryngringsavverkning</t>
        </is>
      </c>
      <c r="D83" s="1" t="n">
        <v>44628</v>
      </c>
      <c r="E83" s="1" t="n">
        <v>46221</v>
      </c>
      <c r="F83" t="inlineStr">
        <is>
          <t>JÖNKÖPINGS LÄN</t>
        </is>
      </c>
      <c r="G83" t="inlineStr">
        <is>
          <t>HABO</t>
        </is>
      </c>
      <c r="I83" t="n">
        <v>2.5</v>
      </c>
      <c r="J83" t="n">
        <v>0</v>
      </c>
      <c r="K83" t="n">
        <v>0</v>
      </c>
      <c r="L83" t="n">
        <v>0</v>
      </c>
      <c r="M83" t="n">
        <v>0</v>
      </c>
      <c r="N83" t="n">
        <v>0</v>
      </c>
      <c r="O83" t="n">
        <v>0</v>
      </c>
      <c r="P83" t="n">
        <v>0</v>
      </c>
      <c r="Q83" t="n">
        <v>0</v>
      </c>
      <c r="R83" t="n">
        <v>0</v>
      </c>
      <c r="S83" t="n">
        <v>0</v>
      </c>
      <c r="T83" t="n">
        <v>0</v>
      </c>
      <c r="U83" s="2" t="inlineStr"/>
    </row>
    <row r="84" ht="15" customHeight="1">
      <c r="A84" t="inlineStr">
        <is>
          <t>A 3775-2026</t>
        </is>
      </c>
      <c r="B84" t="inlineStr">
        <is>
          <t>avverkningsanmälan</t>
        </is>
      </c>
      <c r="C84" t="inlineStr">
        <is>
          <t>Föryngringsavverkning</t>
        </is>
      </c>
      <c r="D84" s="1" t="n">
        <v>46043</v>
      </c>
      <c r="E84" s="1" t="n">
        <v>46221</v>
      </c>
      <c r="F84" t="inlineStr">
        <is>
          <t>JÖNKÖPINGS LÄN</t>
        </is>
      </c>
      <c r="G84" t="inlineStr">
        <is>
          <t>HABO</t>
        </is>
      </c>
      <c r="I84" t="n">
        <v>2.2</v>
      </c>
      <c r="J84" t="n">
        <v>0</v>
      </c>
      <c r="K84" t="n">
        <v>0</v>
      </c>
      <c r="L84" t="n">
        <v>0</v>
      </c>
      <c r="M84" t="n">
        <v>0</v>
      </c>
      <c r="N84" t="n">
        <v>0</v>
      </c>
      <c r="O84" t="n">
        <v>0</v>
      </c>
      <c r="P84" t="n">
        <v>0</v>
      </c>
      <c r="Q84" t="n">
        <v>0</v>
      </c>
      <c r="R84" t="n">
        <v>0</v>
      </c>
      <c r="S84" t="n">
        <v>0</v>
      </c>
      <c r="T84" t="n">
        <v>0</v>
      </c>
      <c r="U84" s="2" t="inlineStr"/>
    </row>
    <row r="85" ht="15" customHeight="1">
      <c r="A85" t="inlineStr">
        <is>
          <t>A 3787-2026</t>
        </is>
      </c>
      <c r="B85" t="inlineStr">
        <is>
          <t>avverkningsanmälan</t>
        </is>
      </c>
      <c r="C85" t="inlineStr">
        <is>
          <t>Föryngringsavverkning</t>
        </is>
      </c>
      <c r="D85" s="1" t="n">
        <v>46043</v>
      </c>
      <c r="E85" s="1" t="n">
        <v>46221</v>
      </c>
      <c r="F85" t="inlineStr">
        <is>
          <t>JÖNKÖPINGS LÄN</t>
        </is>
      </c>
      <c r="G85" t="inlineStr">
        <is>
          <t>HABO</t>
        </is>
      </c>
      <c r="I85" t="n">
        <v>2</v>
      </c>
      <c r="J85" t="n">
        <v>0</v>
      </c>
      <c r="K85" t="n">
        <v>0</v>
      </c>
      <c r="L85" t="n">
        <v>0</v>
      </c>
      <c r="M85" t="n">
        <v>0</v>
      </c>
      <c r="N85" t="n">
        <v>0</v>
      </c>
      <c r="O85" t="n">
        <v>0</v>
      </c>
      <c r="P85" t="n">
        <v>0</v>
      </c>
      <c r="Q85" t="n">
        <v>0</v>
      </c>
      <c r="R85" t="n">
        <v>0</v>
      </c>
      <c r="S85" t="n">
        <v>0</v>
      </c>
      <c r="T85" t="n">
        <v>0</v>
      </c>
      <c r="U85" s="2" t="inlineStr"/>
    </row>
    <row r="86" ht="15" customHeight="1">
      <c r="A86" t="inlineStr">
        <is>
          <t>A 27327-2025</t>
        </is>
      </c>
      <c r="B86" t="inlineStr">
        <is>
          <t>avverkningsanmälan</t>
        </is>
      </c>
      <c r="C86" t="inlineStr">
        <is>
          <t>Föryngringsavverkning</t>
        </is>
      </c>
      <c r="D86" s="1" t="n">
        <v>45812</v>
      </c>
      <c r="E86" s="1" t="n">
        <v>46221</v>
      </c>
      <c r="F86" t="inlineStr">
        <is>
          <t>JÖNKÖPINGS LÄN</t>
        </is>
      </c>
      <c r="G86" t="inlineStr">
        <is>
          <t>HABO</t>
        </is>
      </c>
      <c r="I86" t="n">
        <v>7.1</v>
      </c>
      <c r="J86" t="n">
        <v>0</v>
      </c>
      <c r="K86" t="n">
        <v>0</v>
      </c>
      <c r="L86" t="n">
        <v>0</v>
      </c>
      <c r="M86" t="n">
        <v>0</v>
      </c>
      <c r="N86" t="n">
        <v>0</v>
      </c>
      <c r="O86" t="n">
        <v>0</v>
      </c>
      <c r="P86" t="n">
        <v>0</v>
      </c>
      <c r="Q86" t="n">
        <v>0</v>
      </c>
      <c r="R86" t="n">
        <v>0</v>
      </c>
      <c r="S86" t="n">
        <v>0</v>
      </c>
      <c r="T86" t="n">
        <v>0</v>
      </c>
      <c r="U86" s="2" t="inlineStr"/>
    </row>
    <row r="87" ht="15" customHeight="1">
      <c r="A87" t="inlineStr">
        <is>
          <t>A 3792-2026</t>
        </is>
      </c>
      <c r="B87" t="inlineStr">
        <is>
          <t>avverkningsanmälan</t>
        </is>
      </c>
      <c r="C87" t="inlineStr">
        <is>
          <t>Föryngringsavverkning</t>
        </is>
      </c>
      <c r="D87" s="1" t="n">
        <v>46043</v>
      </c>
      <c r="E87" s="1" t="n">
        <v>46221</v>
      </c>
      <c r="F87" t="inlineStr">
        <is>
          <t>JÖNKÖPINGS LÄN</t>
        </is>
      </c>
      <c r="G87" t="inlineStr">
        <is>
          <t>HABO</t>
        </is>
      </c>
      <c r="I87" t="n">
        <v>3.1</v>
      </c>
      <c r="J87" t="n">
        <v>0</v>
      </c>
      <c r="K87" t="n">
        <v>0</v>
      </c>
      <c r="L87" t="n">
        <v>0</v>
      </c>
      <c r="M87" t="n">
        <v>0</v>
      </c>
      <c r="N87" t="n">
        <v>0</v>
      </c>
      <c r="O87" t="n">
        <v>0</v>
      </c>
      <c r="P87" t="n">
        <v>0</v>
      </c>
      <c r="Q87" t="n">
        <v>0</v>
      </c>
      <c r="R87" t="n">
        <v>0</v>
      </c>
      <c r="S87" t="n">
        <v>0</v>
      </c>
      <c r="T87" t="n">
        <v>0</v>
      </c>
      <c r="U87" s="2" t="inlineStr"/>
    </row>
    <row r="88" ht="15" customHeight="1">
      <c r="A88" t="inlineStr">
        <is>
          <t>A 26881-2025</t>
        </is>
      </c>
      <c r="B88" t="inlineStr">
        <is>
          <t>avverkningsanmälan</t>
        </is>
      </c>
      <c r="C88" t="inlineStr">
        <is>
          <t>Föryngringsavverkning</t>
        </is>
      </c>
      <c r="D88" s="1" t="n">
        <v>45810</v>
      </c>
      <c r="E88" s="1" t="n">
        <v>46221</v>
      </c>
      <c r="F88" t="inlineStr">
        <is>
          <t>JÖNKÖPINGS LÄN</t>
        </is>
      </c>
      <c r="G88" t="inlineStr">
        <is>
          <t>HABO</t>
        </is>
      </c>
      <c r="I88" t="n">
        <v>11.6</v>
      </c>
      <c r="J88" t="n">
        <v>0</v>
      </c>
      <c r="K88" t="n">
        <v>0</v>
      </c>
      <c r="L88" t="n">
        <v>0</v>
      </c>
      <c r="M88" t="n">
        <v>0</v>
      </c>
      <c r="N88" t="n">
        <v>0</v>
      </c>
      <c r="O88" t="n">
        <v>0</v>
      </c>
      <c r="P88" t="n">
        <v>0</v>
      </c>
      <c r="Q88" t="n">
        <v>0</v>
      </c>
      <c r="R88" t="n">
        <v>0</v>
      </c>
      <c r="S88" t="n">
        <v>0</v>
      </c>
      <c r="T88" t="n">
        <v>0</v>
      </c>
      <c r="U88" s="2" t="inlineStr"/>
    </row>
    <row r="89" ht="15" customHeight="1">
      <c r="A89" t="inlineStr">
        <is>
          <t>A 3794-2026</t>
        </is>
      </c>
      <c r="B89" t="inlineStr">
        <is>
          <t>avverkningsanmälan</t>
        </is>
      </c>
      <c r="C89" t="inlineStr">
        <is>
          <t>Föryngringsavverkning</t>
        </is>
      </c>
      <c r="D89" s="1" t="n">
        <v>46043</v>
      </c>
      <c r="E89" s="1" t="n">
        <v>46221</v>
      </c>
      <c r="F89" t="inlineStr">
        <is>
          <t>JÖNKÖPINGS LÄN</t>
        </is>
      </c>
      <c r="G89" t="inlineStr">
        <is>
          <t>HABO</t>
        </is>
      </c>
      <c r="I89" t="n">
        <v>1.7</v>
      </c>
      <c r="J89" t="n">
        <v>0</v>
      </c>
      <c r="K89" t="n">
        <v>0</v>
      </c>
      <c r="L89" t="n">
        <v>0</v>
      </c>
      <c r="M89" t="n">
        <v>0</v>
      </c>
      <c r="N89" t="n">
        <v>0</v>
      </c>
      <c r="O89" t="n">
        <v>0</v>
      </c>
      <c r="P89" t="n">
        <v>0</v>
      </c>
      <c r="Q89" t="n">
        <v>0</v>
      </c>
      <c r="R89" t="n">
        <v>0</v>
      </c>
      <c r="S89" t="n">
        <v>0</v>
      </c>
      <c r="T89" t="n">
        <v>0</v>
      </c>
      <c r="U89" s="2" t="inlineStr"/>
    </row>
    <row r="90" ht="15" customHeight="1">
      <c r="A90" t="inlineStr">
        <is>
          <t>A 3778-2026</t>
        </is>
      </c>
      <c r="B90" t="inlineStr">
        <is>
          <t>avverkningsanmälan</t>
        </is>
      </c>
      <c r="C90" t="inlineStr">
        <is>
          <t>Föryngringsavverkning</t>
        </is>
      </c>
      <c r="D90" s="1" t="n">
        <v>46043</v>
      </c>
      <c r="E90" s="1" t="n">
        <v>46221</v>
      </c>
      <c r="F90" t="inlineStr">
        <is>
          <t>JÖNKÖPINGS LÄN</t>
        </is>
      </c>
      <c r="G90" t="inlineStr">
        <is>
          <t>HABO</t>
        </is>
      </c>
      <c r="I90" t="n">
        <v>0.6</v>
      </c>
      <c r="J90" t="n">
        <v>0</v>
      </c>
      <c r="K90" t="n">
        <v>0</v>
      </c>
      <c r="L90" t="n">
        <v>0</v>
      </c>
      <c r="M90" t="n">
        <v>0</v>
      </c>
      <c r="N90" t="n">
        <v>0</v>
      </c>
      <c r="O90" t="n">
        <v>0</v>
      </c>
      <c r="P90" t="n">
        <v>0</v>
      </c>
      <c r="Q90" t="n">
        <v>0</v>
      </c>
      <c r="R90" t="n">
        <v>0</v>
      </c>
      <c r="S90" t="n">
        <v>0</v>
      </c>
      <c r="T90" t="n">
        <v>0</v>
      </c>
      <c r="U90" s="2" t="inlineStr"/>
    </row>
    <row r="91" ht="15" customHeight="1">
      <c r="A91" t="inlineStr">
        <is>
          <t>A 3783-2026</t>
        </is>
      </c>
      <c r="B91" t="inlineStr">
        <is>
          <t>avverkningsanmälan</t>
        </is>
      </c>
      <c r="C91" t="inlineStr">
        <is>
          <t>Föryngringsavverkning</t>
        </is>
      </c>
      <c r="D91" s="1" t="n">
        <v>46043</v>
      </c>
      <c r="E91" s="1" t="n">
        <v>46221</v>
      </c>
      <c r="F91" t="inlineStr">
        <is>
          <t>JÖNKÖPINGS LÄN</t>
        </is>
      </c>
      <c r="G91" t="inlineStr">
        <is>
          <t>HABO</t>
        </is>
      </c>
      <c r="I91" t="n">
        <v>4.1</v>
      </c>
      <c r="J91" t="n">
        <v>0</v>
      </c>
      <c r="K91" t="n">
        <v>0</v>
      </c>
      <c r="L91" t="n">
        <v>0</v>
      </c>
      <c r="M91" t="n">
        <v>0</v>
      </c>
      <c r="N91" t="n">
        <v>0</v>
      </c>
      <c r="O91" t="n">
        <v>0</v>
      </c>
      <c r="P91" t="n">
        <v>0</v>
      </c>
      <c r="Q91" t="n">
        <v>0</v>
      </c>
      <c r="R91" t="n">
        <v>0</v>
      </c>
      <c r="S91" t="n">
        <v>0</v>
      </c>
      <c r="T91" t="n">
        <v>0</v>
      </c>
      <c r="U91" s="2" t="inlineStr"/>
    </row>
    <row r="92" ht="15" customHeight="1">
      <c r="A92" t="inlineStr">
        <is>
          <t>A 1915-2025</t>
        </is>
      </c>
      <c r="B92" t="inlineStr">
        <is>
          <t>avverkningsanmälan</t>
        </is>
      </c>
      <c r="C92" t="inlineStr">
        <is>
          <t>Föryngringsavverkning</t>
        </is>
      </c>
      <c r="D92" s="1" t="n">
        <v>45671</v>
      </c>
      <c r="E92" s="1" t="n">
        <v>46221</v>
      </c>
      <c r="F92" t="inlineStr">
        <is>
          <t>JÖNKÖPINGS LÄN</t>
        </is>
      </c>
      <c r="G92" t="inlineStr">
        <is>
          <t>HABO</t>
        </is>
      </c>
      <c r="I92" t="n">
        <v>2</v>
      </c>
      <c r="J92" t="n">
        <v>0</v>
      </c>
      <c r="K92" t="n">
        <v>0</v>
      </c>
      <c r="L92" t="n">
        <v>0</v>
      </c>
      <c r="M92" t="n">
        <v>0</v>
      </c>
      <c r="N92" t="n">
        <v>0</v>
      </c>
      <c r="O92" t="n">
        <v>0</v>
      </c>
      <c r="P92" t="n">
        <v>0</v>
      </c>
      <c r="Q92" t="n">
        <v>0</v>
      </c>
      <c r="R92" t="n">
        <v>0</v>
      </c>
      <c r="S92" t="n">
        <v>0</v>
      </c>
      <c r="T92" t="n">
        <v>0</v>
      </c>
      <c r="U92" s="2" t="inlineStr"/>
    </row>
    <row r="93" ht="15" customHeight="1">
      <c r="A93" t="inlineStr">
        <is>
          <t>A 38759-2025</t>
        </is>
      </c>
      <c r="B93" t="inlineStr">
        <is>
          <t>avverkningsanmälan</t>
        </is>
      </c>
      <c r="C93" t="inlineStr">
        <is>
          <t>Föryngringsavverkning</t>
        </is>
      </c>
      <c r="D93" s="1" t="n">
        <v>45887</v>
      </c>
      <c r="E93" s="1" t="n">
        <v>46221</v>
      </c>
      <c r="F93" t="inlineStr">
        <is>
          <t>JÖNKÖPINGS LÄN</t>
        </is>
      </c>
      <c r="G93" t="inlineStr">
        <is>
          <t>HABO</t>
        </is>
      </c>
      <c r="I93" t="n">
        <v>1.9</v>
      </c>
      <c r="J93" t="n">
        <v>0</v>
      </c>
      <c r="K93" t="n">
        <v>0</v>
      </c>
      <c r="L93" t="n">
        <v>0</v>
      </c>
      <c r="M93" t="n">
        <v>0</v>
      </c>
      <c r="N93" t="n">
        <v>0</v>
      </c>
      <c r="O93" t="n">
        <v>0</v>
      </c>
      <c r="P93" t="n">
        <v>0</v>
      </c>
      <c r="Q93" t="n">
        <v>0</v>
      </c>
      <c r="R93" t="n">
        <v>0</v>
      </c>
      <c r="S93" t="n">
        <v>0</v>
      </c>
      <c r="T93" t="n">
        <v>0</v>
      </c>
      <c r="U93" s="2" t="inlineStr"/>
    </row>
    <row r="94" ht="15" customHeight="1">
      <c r="A94" t="inlineStr">
        <is>
          <t>A 38069-2025</t>
        </is>
      </c>
      <c r="B94" t="inlineStr">
        <is>
          <t>avverkningsanmälan</t>
        </is>
      </c>
      <c r="C94" t="inlineStr">
        <is>
          <t>Föryngringsavverkning</t>
        </is>
      </c>
      <c r="D94" s="1" t="n">
        <v>45882</v>
      </c>
      <c r="E94" s="1" t="n">
        <v>46221</v>
      </c>
      <c r="F94" t="inlineStr">
        <is>
          <t>JÖNKÖPINGS LÄN</t>
        </is>
      </c>
      <c r="G94" t="inlineStr">
        <is>
          <t>HABO</t>
        </is>
      </c>
      <c r="H94" t="inlineStr">
        <is>
          <t>Allmännings- och besparingsskogar</t>
        </is>
      </c>
      <c r="I94" t="n">
        <v>6.8</v>
      </c>
      <c r="J94" t="n">
        <v>0</v>
      </c>
      <c r="K94" t="n">
        <v>0</v>
      </c>
      <c r="L94" t="n">
        <v>0</v>
      </c>
      <c r="M94" t="n">
        <v>0</v>
      </c>
      <c r="N94" t="n">
        <v>0</v>
      </c>
      <c r="O94" t="n">
        <v>0</v>
      </c>
      <c r="P94" t="n">
        <v>0</v>
      </c>
      <c r="Q94" t="n">
        <v>0</v>
      </c>
      <c r="R94" t="n">
        <v>0</v>
      </c>
      <c r="S94" t="n">
        <v>0</v>
      </c>
      <c r="T94" t="n">
        <v>0</v>
      </c>
      <c r="U94" s="2" t="inlineStr"/>
    </row>
    <row r="95" ht="15" customHeight="1">
      <c r="A95" t="inlineStr">
        <is>
          <t>A 26932-2025</t>
        </is>
      </c>
      <c r="B95" t="inlineStr">
        <is>
          <t>avverkningsanmälan</t>
        </is>
      </c>
      <c r="C95" t="inlineStr">
        <is>
          <t>Avverkning för annat ändamål</t>
        </is>
      </c>
      <c r="D95" s="1" t="n">
        <v>45811</v>
      </c>
      <c r="E95" s="1" t="n">
        <v>46221</v>
      </c>
      <c r="F95" t="inlineStr">
        <is>
          <t>JÖNKÖPINGS LÄN</t>
        </is>
      </c>
      <c r="G95" t="inlineStr">
        <is>
          <t>HABO</t>
        </is>
      </c>
      <c r="I95" t="n">
        <v>1.7</v>
      </c>
      <c r="J95" t="n">
        <v>0</v>
      </c>
      <c r="K95" t="n">
        <v>0</v>
      </c>
      <c r="L95" t="n">
        <v>0</v>
      </c>
      <c r="M95" t="n">
        <v>0</v>
      </c>
      <c r="N95" t="n">
        <v>0</v>
      </c>
      <c r="O95" t="n">
        <v>0</v>
      </c>
      <c r="P95" t="n">
        <v>0</v>
      </c>
      <c r="Q95" t="n">
        <v>0</v>
      </c>
      <c r="R95" t="n">
        <v>0</v>
      </c>
      <c r="S95" t="n">
        <v>0</v>
      </c>
      <c r="T95" t="n">
        <v>0</v>
      </c>
      <c r="U95" s="2" t="inlineStr"/>
    </row>
    <row r="96" ht="15" customHeight="1">
      <c r="A96" t="inlineStr">
        <is>
          <t>A 37802-2024</t>
        </is>
      </c>
      <c r="B96" t="inlineStr">
        <is>
          <t>avverkningsanmälan</t>
        </is>
      </c>
      <c r="C96" t="inlineStr">
        <is>
          <t>Föryngringsavverkning</t>
        </is>
      </c>
      <c r="D96" s="1" t="n">
        <v>45543</v>
      </c>
      <c r="E96" s="1" t="n">
        <v>46221</v>
      </c>
      <c r="F96" t="inlineStr">
        <is>
          <t>JÖNKÖPINGS LÄN</t>
        </is>
      </c>
      <c r="G96" t="inlineStr">
        <is>
          <t>HABO</t>
        </is>
      </c>
      <c r="I96" t="n">
        <v>2.8</v>
      </c>
      <c r="J96" t="n">
        <v>0</v>
      </c>
      <c r="K96" t="n">
        <v>0</v>
      </c>
      <c r="L96" t="n">
        <v>0</v>
      </c>
      <c r="M96" t="n">
        <v>0</v>
      </c>
      <c r="N96" t="n">
        <v>0</v>
      </c>
      <c r="O96" t="n">
        <v>0</v>
      </c>
      <c r="P96" t="n">
        <v>0</v>
      </c>
      <c r="Q96" t="n">
        <v>0</v>
      </c>
      <c r="R96" t="n">
        <v>0</v>
      </c>
      <c r="S96" t="n">
        <v>0</v>
      </c>
      <c r="T96" t="n">
        <v>0</v>
      </c>
      <c r="U96" s="2" t="inlineStr"/>
    </row>
    <row r="97" ht="15" customHeight="1">
      <c r="A97" t="inlineStr">
        <is>
          <t>A 59057-2024</t>
        </is>
      </c>
      <c r="B97" t="inlineStr">
        <is>
          <t>avverkningsanmälan</t>
        </is>
      </c>
      <c r="C97" t="inlineStr">
        <is>
          <t>Föryngringsavverkning</t>
        </is>
      </c>
      <c r="D97" s="1" t="n">
        <v>45636</v>
      </c>
      <c r="E97" s="1" t="n">
        <v>46221</v>
      </c>
      <c r="F97" t="inlineStr">
        <is>
          <t>JÖNKÖPINGS LÄN</t>
        </is>
      </c>
      <c r="G97" t="inlineStr">
        <is>
          <t>HABO</t>
        </is>
      </c>
      <c r="I97" t="n">
        <v>1.7</v>
      </c>
      <c r="J97" t="n">
        <v>0</v>
      </c>
      <c r="K97" t="n">
        <v>0</v>
      </c>
      <c r="L97" t="n">
        <v>0</v>
      </c>
      <c r="M97" t="n">
        <v>0</v>
      </c>
      <c r="N97" t="n">
        <v>0</v>
      </c>
      <c r="O97" t="n">
        <v>0</v>
      </c>
      <c r="P97" t="n">
        <v>0</v>
      </c>
      <c r="Q97" t="n">
        <v>0</v>
      </c>
      <c r="R97" t="n">
        <v>0</v>
      </c>
      <c r="S97" t="n">
        <v>0</v>
      </c>
      <c r="T97" t="n">
        <v>0</v>
      </c>
      <c r="U97" s="2" t="inlineStr"/>
    </row>
    <row r="98" ht="15" customHeight="1">
      <c r="A98" t="inlineStr">
        <is>
          <t>A 49446-2024</t>
        </is>
      </c>
      <c r="B98" t="inlineStr">
        <is>
          <t>avverkningsanmälan</t>
        </is>
      </c>
      <c r="C98" t="inlineStr">
        <is>
          <t>Föryngringsavverkning</t>
        </is>
      </c>
      <c r="D98" s="1" t="n">
        <v>45595</v>
      </c>
      <c r="E98" s="1" t="n">
        <v>46221</v>
      </c>
      <c r="F98" t="inlineStr">
        <is>
          <t>JÖNKÖPINGS LÄN</t>
        </is>
      </c>
      <c r="G98" t="inlineStr">
        <is>
          <t>HABO</t>
        </is>
      </c>
      <c r="I98" t="n">
        <v>1.1</v>
      </c>
      <c r="J98" t="n">
        <v>0</v>
      </c>
      <c r="K98" t="n">
        <v>0</v>
      </c>
      <c r="L98" t="n">
        <v>0</v>
      </c>
      <c r="M98" t="n">
        <v>0</v>
      </c>
      <c r="N98" t="n">
        <v>0</v>
      </c>
      <c r="O98" t="n">
        <v>0</v>
      </c>
      <c r="P98" t="n">
        <v>0</v>
      </c>
      <c r="Q98" t="n">
        <v>0</v>
      </c>
      <c r="R98" t="n">
        <v>0</v>
      </c>
      <c r="S98" t="n">
        <v>0</v>
      </c>
      <c r="T98" t="n">
        <v>0</v>
      </c>
      <c r="U98" s="2" t="inlineStr"/>
    </row>
    <row r="99" ht="15" customHeight="1">
      <c r="A99" t="inlineStr">
        <is>
          <t>A 49449-2024</t>
        </is>
      </c>
      <c r="B99" t="inlineStr">
        <is>
          <t>avverkningsanmälan</t>
        </is>
      </c>
      <c r="C99" t="inlineStr">
        <is>
          <t>Föryngringsavverkning</t>
        </is>
      </c>
      <c r="D99" s="1" t="n">
        <v>45595</v>
      </c>
      <c r="E99" s="1" t="n">
        <v>46221</v>
      </c>
      <c r="F99" t="inlineStr">
        <is>
          <t>JÖNKÖPINGS LÄN</t>
        </is>
      </c>
      <c r="G99" t="inlineStr">
        <is>
          <t>HABO</t>
        </is>
      </c>
      <c r="I99" t="n">
        <v>0.6</v>
      </c>
      <c r="J99" t="n">
        <v>0</v>
      </c>
      <c r="K99" t="n">
        <v>0</v>
      </c>
      <c r="L99" t="n">
        <v>0</v>
      </c>
      <c r="M99" t="n">
        <v>0</v>
      </c>
      <c r="N99" t="n">
        <v>0</v>
      </c>
      <c r="O99" t="n">
        <v>0</v>
      </c>
      <c r="P99" t="n">
        <v>0</v>
      </c>
      <c r="Q99" t="n">
        <v>0</v>
      </c>
      <c r="R99" t="n">
        <v>0</v>
      </c>
      <c r="S99" t="n">
        <v>0</v>
      </c>
      <c r="T99" t="n">
        <v>0</v>
      </c>
      <c r="U99" s="2" t="inlineStr"/>
    </row>
    <row r="100" ht="15" customHeight="1">
      <c r="A100" t="inlineStr">
        <is>
          <t>A 28821-2022</t>
        </is>
      </c>
      <c r="B100" t="inlineStr">
        <is>
          <t>avverkningsanmälan</t>
        </is>
      </c>
      <c r="C100" t="inlineStr">
        <is>
          <t>Föryngringsavverkning</t>
        </is>
      </c>
      <c r="D100" s="1" t="n">
        <v>44749</v>
      </c>
      <c r="E100" s="1" t="n">
        <v>46221</v>
      </c>
      <c r="F100" t="inlineStr">
        <is>
          <t>JÖNKÖPINGS LÄN</t>
        </is>
      </c>
      <c r="G100" t="inlineStr">
        <is>
          <t>HABO</t>
        </is>
      </c>
      <c r="I100" t="n">
        <v>3.2</v>
      </c>
      <c r="J100" t="n">
        <v>0</v>
      </c>
      <c r="K100" t="n">
        <v>0</v>
      </c>
      <c r="L100" t="n">
        <v>0</v>
      </c>
      <c r="M100" t="n">
        <v>0</v>
      </c>
      <c r="N100" t="n">
        <v>0</v>
      </c>
      <c r="O100" t="n">
        <v>0</v>
      </c>
      <c r="P100" t="n">
        <v>0</v>
      </c>
      <c r="Q100" t="n">
        <v>0</v>
      </c>
      <c r="R100" t="n">
        <v>0</v>
      </c>
      <c r="S100" t="n">
        <v>0</v>
      </c>
      <c r="T100" t="n">
        <v>0</v>
      </c>
      <c r="U100" s="2" t="inlineStr"/>
    </row>
    <row r="101" ht="15" customHeight="1">
      <c r="A101" t="inlineStr">
        <is>
          <t>A 40677-2025</t>
        </is>
      </c>
      <c r="B101" t="inlineStr">
        <is>
          <t>avverkningsanmälan</t>
        </is>
      </c>
      <c r="C101" t="inlineStr">
        <is>
          <t>Föryngringsavverkning</t>
        </is>
      </c>
      <c r="D101" s="1" t="n">
        <v>45896</v>
      </c>
      <c r="E101" s="1" t="n">
        <v>46221</v>
      </c>
      <c r="F101" t="inlineStr">
        <is>
          <t>JÖNKÖPINGS LÄN</t>
        </is>
      </c>
      <c r="G101" t="inlineStr">
        <is>
          <t>HABO</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11906-2023</t>
        </is>
      </c>
      <c r="B102" t="inlineStr">
        <is>
          <t>avverkningsanmälan</t>
        </is>
      </c>
      <c r="C102" t="inlineStr">
        <is>
          <t>Föryngringsavverkning</t>
        </is>
      </c>
      <c r="D102" s="1" t="n">
        <v>44995</v>
      </c>
      <c r="E102" s="1" t="n">
        <v>46221</v>
      </c>
      <c r="F102" t="inlineStr">
        <is>
          <t>JÖNKÖPINGS LÄN</t>
        </is>
      </c>
      <c r="G102" t="inlineStr">
        <is>
          <t>HABO</t>
        </is>
      </c>
      <c r="I102" t="n">
        <v>3.9</v>
      </c>
      <c r="J102" t="n">
        <v>0</v>
      </c>
      <c r="K102" t="n">
        <v>0</v>
      </c>
      <c r="L102" t="n">
        <v>0</v>
      </c>
      <c r="M102" t="n">
        <v>0</v>
      </c>
      <c r="N102" t="n">
        <v>0</v>
      </c>
      <c r="O102" t="n">
        <v>0</v>
      </c>
      <c r="P102" t="n">
        <v>0</v>
      </c>
      <c r="Q102" t="n">
        <v>0</v>
      </c>
      <c r="R102" t="n">
        <v>0</v>
      </c>
      <c r="S102" t="n">
        <v>0</v>
      </c>
      <c r="T102" t="n">
        <v>0</v>
      </c>
      <c r="U102" s="2" t="inlineStr"/>
    </row>
    <row r="103" ht="15" customHeight="1">
      <c r="A103" t="inlineStr">
        <is>
          <t>A 30272-2025</t>
        </is>
      </c>
      <c r="B103" t="inlineStr">
        <is>
          <t>avverkningsanmälan</t>
        </is>
      </c>
      <c r="C103" t="inlineStr">
        <is>
          <t>Föryngringsavverkning</t>
        </is>
      </c>
      <c r="D103" s="1" t="n">
        <v>45827</v>
      </c>
      <c r="E103" s="1" t="n">
        <v>46221</v>
      </c>
      <c r="F103" t="inlineStr">
        <is>
          <t>JÖNKÖPINGS LÄN</t>
        </is>
      </c>
      <c r="G103" t="inlineStr">
        <is>
          <t>HABO</t>
        </is>
      </c>
      <c r="I103" t="n">
        <v>0.9</v>
      </c>
      <c r="J103" t="n">
        <v>0</v>
      </c>
      <c r="K103" t="n">
        <v>0</v>
      </c>
      <c r="L103" t="n">
        <v>0</v>
      </c>
      <c r="M103" t="n">
        <v>0</v>
      </c>
      <c r="N103" t="n">
        <v>0</v>
      </c>
      <c r="O103" t="n">
        <v>0</v>
      </c>
      <c r="P103" t="n">
        <v>0</v>
      </c>
      <c r="Q103" t="n">
        <v>0</v>
      </c>
      <c r="R103" t="n">
        <v>0</v>
      </c>
      <c r="S103" t="n">
        <v>0</v>
      </c>
      <c r="T103" t="n">
        <v>0</v>
      </c>
      <c r="U103" s="2" t="inlineStr"/>
    </row>
    <row r="104" ht="15" customHeight="1">
      <c r="A104" t="inlineStr">
        <is>
          <t>A 30274-2025</t>
        </is>
      </c>
      <c r="B104" t="inlineStr">
        <is>
          <t>avverkningsanmälan</t>
        </is>
      </c>
      <c r="C104" t="inlineStr">
        <is>
          <t>Föryngringsavverkning</t>
        </is>
      </c>
      <c r="D104" s="1" t="n">
        <v>45827</v>
      </c>
      <c r="E104" s="1" t="n">
        <v>46221</v>
      </c>
      <c r="F104" t="inlineStr">
        <is>
          <t>JÖNKÖPINGS LÄN</t>
        </is>
      </c>
      <c r="G104" t="inlineStr">
        <is>
          <t>HABO</t>
        </is>
      </c>
      <c r="I104" t="n">
        <v>0.6</v>
      </c>
      <c r="J104" t="n">
        <v>0</v>
      </c>
      <c r="K104" t="n">
        <v>0</v>
      </c>
      <c r="L104" t="n">
        <v>0</v>
      </c>
      <c r="M104" t="n">
        <v>0</v>
      </c>
      <c r="N104" t="n">
        <v>0</v>
      </c>
      <c r="O104" t="n">
        <v>0</v>
      </c>
      <c r="P104" t="n">
        <v>0</v>
      </c>
      <c r="Q104" t="n">
        <v>0</v>
      </c>
      <c r="R104" t="n">
        <v>0</v>
      </c>
      <c r="S104" t="n">
        <v>0</v>
      </c>
      <c r="T104" t="n">
        <v>0</v>
      </c>
      <c r="U104" s="2" t="inlineStr"/>
    </row>
    <row r="105" ht="15" customHeight="1">
      <c r="A105" t="inlineStr">
        <is>
          <t>A 49168-2023</t>
        </is>
      </c>
      <c r="B105" t="inlineStr">
        <is>
          <t>avverkningsanmälan</t>
        </is>
      </c>
      <c r="C105" t="inlineStr">
        <is>
          <t>Föryngringsavverkning</t>
        </is>
      </c>
      <c r="D105" s="1" t="n">
        <v>45210</v>
      </c>
      <c r="E105" s="1" t="n">
        <v>46221</v>
      </c>
      <c r="F105" t="inlineStr">
        <is>
          <t>JÖNKÖPINGS LÄN</t>
        </is>
      </c>
      <c r="G105" t="inlineStr">
        <is>
          <t>HABO</t>
        </is>
      </c>
      <c r="I105" t="n">
        <v>2.6</v>
      </c>
      <c r="J105" t="n">
        <v>0</v>
      </c>
      <c r="K105" t="n">
        <v>0</v>
      </c>
      <c r="L105" t="n">
        <v>0</v>
      </c>
      <c r="M105" t="n">
        <v>0</v>
      </c>
      <c r="N105" t="n">
        <v>0</v>
      </c>
      <c r="O105" t="n">
        <v>0</v>
      </c>
      <c r="P105" t="n">
        <v>0</v>
      </c>
      <c r="Q105" t="n">
        <v>0</v>
      </c>
      <c r="R105" t="n">
        <v>0</v>
      </c>
      <c r="S105" t="n">
        <v>0</v>
      </c>
      <c r="T105" t="n">
        <v>0</v>
      </c>
      <c r="U105" s="2" t="inlineStr"/>
    </row>
    <row r="106" ht="15" customHeight="1">
      <c r="A106" t="inlineStr">
        <is>
          <t>A 41962-2025</t>
        </is>
      </c>
      <c r="B106" t="inlineStr">
        <is>
          <t>avverkningsanmälan</t>
        </is>
      </c>
      <c r="C106" t="inlineStr">
        <is>
          <t>Föryngringsavverkning</t>
        </is>
      </c>
      <c r="D106" s="1" t="n">
        <v>45903</v>
      </c>
      <c r="E106" s="1" t="n">
        <v>46221</v>
      </c>
      <c r="F106" t="inlineStr">
        <is>
          <t>JÖNKÖPINGS LÄN</t>
        </is>
      </c>
      <c r="G106" t="inlineStr">
        <is>
          <t>HABO</t>
        </is>
      </c>
      <c r="I106" t="n">
        <v>0.7</v>
      </c>
      <c r="J106" t="n">
        <v>0</v>
      </c>
      <c r="K106" t="n">
        <v>0</v>
      </c>
      <c r="L106" t="n">
        <v>0</v>
      </c>
      <c r="M106" t="n">
        <v>0</v>
      </c>
      <c r="N106" t="n">
        <v>0</v>
      </c>
      <c r="O106" t="n">
        <v>0</v>
      </c>
      <c r="P106" t="n">
        <v>0</v>
      </c>
      <c r="Q106" t="n">
        <v>0</v>
      </c>
      <c r="R106" t="n">
        <v>0</v>
      </c>
      <c r="S106" t="n">
        <v>0</v>
      </c>
      <c r="T106" t="n">
        <v>0</v>
      </c>
      <c r="U106" s="2" t="inlineStr"/>
    </row>
    <row r="107" ht="15" customHeight="1">
      <c r="A107" t="inlineStr">
        <is>
          <t>A 40280-2024</t>
        </is>
      </c>
      <c r="B107" t="inlineStr">
        <is>
          <t>avverkningsanmälan</t>
        </is>
      </c>
      <c r="C107" t="inlineStr">
        <is>
          <t>Avverkning för annat ändamål</t>
        </is>
      </c>
      <c r="D107" s="1" t="n">
        <v>45554</v>
      </c>
      <c r="E107" s="1" t="n">
        <v>46221</v>
      </c>
      <c r="F107" t="inlineStr">
        <is>
          <t>JÖNKÖPINGS LÄN</t>
        </is>
      </c>
      <c r="G107" t="inlineStr">
        <is>
          <t>HABO</t>
        </is>
      </c>
      <c r="I107" t="n">
        <v>6.9</v>
      </c>
      <c r="J107" t="n">
        <v>0</v>
      </c>
      <c r="K107" t="n">
        <v>0</v>
      </c>
      <c r="L107" t="n">
        <v>0</v>
      </c>
      <c r="M107" t="n">
        <v>0</v>
      </c>
      <c r="N107" t="n">
        <v>0</v>
      </c>
      <c r="O107" t="n">
        <v>0</v>
      </c>
      <c r="P107" t="n">
        <v>0</v>
      </c>
      <c r="Q107" t="n">
        <v>0</v>
      </c>
      <c r="R107" t="n">
        <v>0</v>
      </c>
      <c r="S107" t="n">
        <v>0</v>
      </c>
      <c r="T107" t="n">
        <v>0</v>
      </c>
      <c r="U107" s="2" t="inlineStr"/>
    </row>
    <row r="108" ht="15" customHeight="1">
      <c r="A108" t="inlineStr">
        <is>
          <t>A 5961-2026</t>
        </is>
      </c>
      <c r="B108" t="inlineStr">
        <is>
          <t>avverkningsanmälan</t>
        </is>
      </c>
      <c r="C108" t="inlineStr">
        <is>
          <t>Föryngringsavverkning</t>
        </is>
      </c>
      <c r="D108" s="1" t="n">
        <v>46052</v>
      </c>
      <c r="E108" s="1" t="n">
        <v>46221</v>
      </c>
      <c r="F108" t="inlineStr">
        <is>
          <t>JÖNKÖPINGS LÄN</t>
        </is>
      </c>
      <c r="G108" t="inlineStr">
        <is>
          <t>HABO</t>
        </is>
      </c>
      <c r="I108" t="n">
        <v>2</v>
      </c>
      <c r="J108" t="n">
        <v>0</v>
      </c>
      <c r="K108" t="n">
        <v>0</v>
      </c>
      <c r="L108" t="n">
        <v>0</v>
      </c>
      <c r="M108" t="n">
        <v>0</v>
      </c>
      <c r="N108" t="n">
        <v>0</v>
      </c>
      <c r="O108" t="n">
        <v>0</v>
      </c>
      <c r="P108" t="n">
        <v>0</v>
      </c>
      <c r="Q108" t="n">
        <v>0</v>
      </c>
      <c r="R108" t="n">
        <v>0</v>
      </c>
      <c r="S108" t="n">
        <v>0</v>
      </c>
      <c r="T108" t="n">
        <v>0</v>
      </c>
      <c r="U108" s="2" t="inlineStr"/>
    </row>
    <row r="109" ht="15" customHeight="1">
      <c r="A109" t="inlineStr">
        <is>
          <t>A 60971-2022</t>
        </is>
      </c>
      <c r="B109" t="inlineStr">
        <is>
          <t>avverkningsanmälan</t>
        </is>
      </c>
      <c r="C109" t="inlineStr">
        <is>
          <t>Föryngringsavverkning</t>
        </is>
      </c>
      <c r="D109" s="1" t="n">
        <v>44914</v>
      </c>
      <c r="E109" s="1" t="n">
        <v>46221</v>
      </c>
      <c r="F109" t="inlineStr">
        <is>
          <t>JÖNKÖPINGS LÄN</t>
        </is>
      </c>
      <c r="G109" t="inlineStr">
        <is>
          <t>HABO</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38779-2022</t>
        </is>
      </c>
      <c r="B110" t="inlineStr">
        <is>
          <t>avverkningsanmälan</t>
        </is>
      </c>
      <c r="C110" t="inlineStr">
        <is>
          <t>Föryngringsavverkning</t>
        </is>
      </c>
      <c r="D110" s="1" t="n">
        <v>44816</v>
      </c>
      <c r="E110" s="1" t="n">
        <v>46221</v>
      </c>
      <c r="F110" t="inlineStr">
        <is>
          <t>JÖNKÖPINGS LÄN</t>
        </is>
      </c>
      <c r="G110" t="inlineStr">
        <is>
          <t>HABO</t>
        </is>
      </c>
      <c r="I110" t="n">
        <v>1.4</v>
      </c>
      <c r="J110" t="n">
        <v>0</v>
      </c>
      <c r="K110" t="n">
        <v>0</v>
      </c>
      <c r="L110" t="n">
        <v>0</v>
      </c>
      <c r="M110" t="n">
        <v>0</v>
      </c>
      <c r="N110" t="n">
        <v>0</v>
      </c>
      <c r="O110" t="n">
        <v>0</v>
      </c>
      <c r="P110" t="n">
        <v>0</v>
      </c>
      <c r="Q110" t="n">
        <v>0</v>
      </c>
      <c r="R110" t="n">
        <v>0</v>
      </c>
      <c r="S110" t="n">
        <v>0</v>
      </c>
      <c r="T110" t="n">
        <v>0</v>
      </c>
      <c r="U110" s="2" t="inlineStr"/>
    </row>
    <row r="111" ht="15" customHeight="1">
      <c r="A111" t="inlineStr">
        <is>
          <t>A 12606-2025</t>
        </is>
      </c>
      <c r="B111" t="inlineStr">
        <is>
          <t>avverkningsanmälan</t>
        </is>
      </c>
      <c r="C111" t="inlineStr">
        <is>
          <t>Föryngringsavverkning</t>
        </is>
      </c>
      <c r="D111" s="1" t="n">
        <v>45733</v>
      </c>
      <c r="E111" s="1" t="n">
        <v>46221</v>
      </c>
      <c r="F111" t="inlineStr">
        <is>
          <t>JÖNKÖPINGS LÄN</t>
        </is>
      </c>
      <c r="G111" t="inlineStr">
        <is>
          <t>HABO</t>
        </is>
      </c>
      <c r="I111" t="n">
        <v>1.7</v>
      </c>
      <c r="J111" t="n">
        <v>0</v>
      </c>
      <c r="K111" t="n">
        <v>0</v>
      </c>
      <c r="L111" t="n">
        <v>0</v>
      </c>
      <c r="M111" t="n">
        <v>0</v>
      </c>
      <c r="N111" t="n">
        <v>0</v>
      </c>
      <c r="O111" t="n">
        <v>0</v>
      </c>
      <c r="P111" t="n">
        <v>0</v>
      </c>
      <c r="Q111" t="n">
        <v>0</v>
      </c>
      <c r="R111" t="n">
        <v>0</v>
      </c>
      <c r="S111" t="n">
        <v>0</v>
      </c>
      <c r="T111" t="n">
        <v>0</v>
      </c>
      <c r="U111" s="2" t="inlineStr"/>
    </row>
    <row r="112" ht="15" customHeight="1">
      <c r="A112" t="inlineStr">
        <is>
          <t>A 49849-2024</t>
        </is>
      </c>
      <c r="B112" t="inlineStr">
        <is>
          <t>avverkningsanmälan</t>
        </is>
      </c>
      <c r="C112" t="inlineStr">
        <is>
          <t>Föryngringsavverkning</t>
        </is>
      </c>
      <c r="D112" s="1" t="n">
        <v>45597</v>
      </c>
      <c r="E112" s="1" t="n">
        <v>46221</v>
      </c>
      <c r="F112" t="inlineStr">
        <is>
          <t>JÖNKÖPINGS LÄN</t>
        </is>
      </c>
      <c r="G112" t="inlineStr">
        <is>
          <t>HABO</t>
        </is>
      </c>
      <c r="H112" t="inlineStr">
        <is>
          <t>Sveaskog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45321-2025</t>
        </is>
      </c>
      <c r="B113" t="inlineStr">
        <is>
          <t>avverkningsanmälan</t>
        </is>
      </c>
      <c r="C113" t="inlineStr">
        <is>
          <t>Föryngringsavverkning</t>
        </is>
      </c>
      <c r="D113" s="1" t="n">
        <v>45922</v>
      </c>
      <c r="E113" s="1" t="n">
        <v>46221</v>
      </c>
      <c r="F113" t="inlineStr">
        <is>
          <t>JÖNKÖPINGS LÄN</t>
        </is>
      </c>
      <c r="G113" t="inlineStr">
        <is>
          <t>HABO</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45322-2025</t>
        </is>
      </c>
      <c r="B114" t="inlineStr">
        <is>
          <t>avverkningsanmälan</t>
        </is>
      </c>
      <c r="C114" t="inlineStr">
        <is>
          <t>Föryngringsavverkning</t>
        </is>
      </c>
      <c r="D114" s="1" t="n">
        <v>45922</v>
      </c>
      <c r="E114" s="1" t="n">
        <v>46221</v>
      </c>
      <c r="F114" t="inlineStr">
        <is>
          <t>JÖNKÖPINGS LÄN</t>
        </is>
      </c>
      <c r="G114" t="inlineStr">
        <is>
          <t>HABO</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34452-2025</t>
        </is>
      </c>
      <c r="B115" t="inlineStr">
        <is>
          <t>avverkningsanmälan</t>
        </is>
      </c>
      <c r="C115" t="inlineStr">
        <is>
          <t>Föryngringsavverkning</t>
        </is>
      </c>
      <c r="D115" s="1" t="n">
        <v>45846</v>
      </c>
      <c r="E115" s="1" t="n">
        <v>46221</v>
      </c>
      <c r="F115" t="inlineStr">
        <is>
          <t>JÖNKÖPINGS LÄN</t>
        </is>
      </c>
      <c r="G115" t="inlineStr">
        <is>
          <t>HABO</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26882-2025</t>
        </is>
      </c>
      <c r="B116" t="inlineStr">
        <is>
          <t>avverkningsanmälan</t>
        </is>
      </c>
      <c r="C116" t="inlineStr">
        <is>
          <t>Föryngringsavverkning</t>
        </is>
      </c>
      <c r="D116" s="1" t="n">
        <v>45810</v>
      </c>
      <c r="E116" s="1" t="n">
        <v>46221</v>
      </c>
      <c r="F116" t="inlineStr">
        <is>
          <t>JÖNKÖPINGS LÄN</t>
        </is>
      </c>
      <c r="G116" t="inlineStr">
        <is>
          <t>HABO</t>
        </is>
      </c>
      <c r="I116" t="n">
        <v>4.2</v>
      </c>
      <c r="J116" t="n">
        <v>0</v>
      </c>
      <c r="K116" t="n">
        <v>0</v>
      </c>
      <c r="L116" t="n">
        <v>0</v>
      </c>
      <c r="M116" t="n">
        <v>0</v>
      </c>
      <c r="N116" t="n">
        <v>0</v>
      </c>
      <c r="O116" t="n">
        <v>0</v>
      </c>
      <c r="P116" t="n">
        <v>0</v>
      </c>
      <c r="Q116" t="n">
        <v>0</v>
      </c>
      <c r="R116" t="n">
        <v>0</v>
      </c>
      <c r="S116" t="n">
        <v>0</v>
      </c>
      <c r="T116" t="n">
        <v>0</v>
      </c>
      <c r="U116" s="2" t="inlineStr"/>
    </row>
    <row r="117" ht="15" customHeight="1">
      <c r="A117" t="inlineStr">
        <is>
          <t>A 46589-2025</t>
        </is>
      </c>
      <c r="B117" t="inlineStr">
        <is>
          <t>avverkningsanmälan</t>
        </is>
      </c>
      <c r="C117" t="inlineStr">
        <is>
          <t>Föryngringsavverkning</t>
        </is>
      </c>
      <c r="D117" s="1" t="n">
        <v>45926</v>
      </c>
      <c r="E117" s="1" t="n">
        <v>46221</v>
      </c>
      <c r="F117" t="inlineStr">
        <is>
          <t>JÖNKÖPINGS LÄN</t>
        </is>
      </c>
      <c r="G117" t="inlineStr">
        <is>
          <t>HABO</t>
        </is>
      </c>
      <c r="I117" t="n">
        <v>2.8</v>
      </c>
      <c r="J117" t="n">
        <v>0</v>
      </c>
      <c r="K117" t="n">
        <v>0</v>
      </c>
      <c r="L117" t="n">
        <v>0</v>
      </c>
      <c r="M117" t="n">
        <v>0</v>
      </c>
      <c r="N117" t="n">
        <v>0</v>
      </c>
      <c r="O117" t="n">
        <v>0</v>
      </c>
      <c r="P117" t="n">
        <v>0</v>
      </c>
      <c r="Q117" t="n">
        <v>0</v>
      </c>
      <c r="R117" t="n">
        <v>0</v>
      </c>
      <c r="S117" t="n">
        <v>0</v>
      </c>
      <c r="T117" t="n">
        <v>0</v>
      </c>
      <c r="U117" s="2" t="inlineStr"/>
    </row>
    <row r="118" ht="15" customHeight="1">
      <c r="A118" t="inlineStr">
        <is>
          <t>A 29733-2023</t>
        </is>
      </c>
      <c r="B118" t="inlineStr">
        <is>
          <t>avverkningsanmälan</t>
        </is>
      </c>
      <c r="C118" t="inlineStr">
        <is>
          <t>Föryngringsavverkning</t>
        </is>
      </c>
      <c r="D118" s="1" t="n">
        <v>45107</v>
      </c>
      <c r="E118" s="1" t="n">
        <v>46221</v>
      </c>
      <c r="F118" t="inlineStr">
        <is>
          <t>JÖNKÖPINGS LÄN</t>
        </is>
      </c>
      <c r="G118" t="inlineStr">
        <is>
          <t>HABO</t>
        </is>
      </c>
      <c r="I118" t="n">
        <v>0.3</v>
      </c>
      <c r="J118" t="n">
        <v>0</v>
      </c>
      <c r="K118" t="n">
        <v>0</v>
      </c>
      <c r="L118" t="n">
        <v>0</v>
      </c>
      <c r="M118" t="n">
        <v>0</v>
      </c>
      <c r="N118" t="n">
        <v>0</v>
      </c>
      <c r="O118" t="n">
        <v>0</v>
      </c>
      <c r="P118" t="n">
        <v>0</v>
      </c>
      <c r="Q118" t="n">
        <v>0</v>
      </c>
      <c r="R118" t="n">
        <v>0</v>
      </c>
      <c r="S118" t="n">
        <v>0</v>
      </c>
      <c r="T118" t="n">
        <v>0</v>
      </c>
      <c r="U118" s="2" t="inlineStr"/>
    </row>
    <row r="119" ht="15" customHeight="1">
      <c r="A119" t="inlineStr">
        <is>
          <t>A 47773-2025</t>
        </is>
      </c>
      <c r="B119" t="inlineStr">
        <is>
          <t>avverkningsanmälan</t>
        </is>
      </c>
      <c r="C119" t="inlineStr">
        <is>
          <t>Föryngringsavverkning</t>
        </is>
      </c>
      <c r="D119" s="1" t="n">
        <v>45931</v>
      </c>
      <c r="E119" s="1" t="n">
        <v>46221</v>
      </c>
      <c r="F119" t="inlineStr">
        <is>
          <t>JÖNKÖPINGS LÄN</t>
        </is>
      </c>
      <c r="G119" t="inlineStr">
        <is>
          <t>HABO</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58430-2021</t>
        </is>
      </c>
      <c r="B120" t="inlineStr">
        <is>
          <t>avverkningsanmälan</t>
        </is>
      </c>
      <c r="C120" t="inlineStr">
        <is>
          <t>Föryngringsavverkning</t>
        </is>
      </c>
      <c r="D120" s="1" t="n">
        <v>44488</v>
      </c>
      <c r="E120" s="1" t="n">
        <v>46221</v>
      </c>
      <c r="F120" t="inlineStr">
        <is>
          <t>JÖNKÖPINGS LÄN</t>
        </is>
      </c>
      <c r="G120" t="inlineStr">
        <is>
          <t>HABO</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16458-2025</t>
        </is>
      </c>
      <c r="B121" t="inlineStr">
        <is>
          <t>avverkningsanmälan</t>
        </is>
      </c>
      <c r="C121" t="inlineStr">
        <is>
          <t>Föryngringsavverkning</t>
        </is>
      </c>
      <c r="D121" s="1" t="n">
        <v>45751</v>
      </c>
      <c r="E121" s="1" t="n">
        <v>46221</v>
      </c>
      <c r="F121" t="inlineStr">
        <is>
          <t>JÖNKÖPINGS LÄN</t>
        </is>
      </c>
      <c r="G121" t="inlineStr">
        <is>
          <t>HABO</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37438-2025</t>
        </is>
      </c>
      <c r="B122" t="inlineStr">
        <is>
          <t>avverkningsanmälan</t>
        </is>
      </c>
      <c r="C122" t="inlineStr">
        <is>
          <t>Föryngringsavverkning</t>
        </is>
      </c>
      <c r="D122" s="1" t="n">
        <v>45877</v>
      </c>
      <c r="E122" s="1" t="n">
        <v>46221</v>
      </c>
      <c r="F122" t="inlineStr">
        <is>
          <t>JÖNKÖPINGS LÄN</t>
        </is>
      </c>
      <c r="G122" t="inlineStr">
        <is>
          <t>HABO</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7419-2026</t>
        </is>
      </c>
      <c r="B123" t="inlineStr">
        <is>
          <t>avverkningsanmälan</t>
        </is>
      </c>
      <c r="C123" t="inlineStr">
        <is>
          <t>Föryngringsavverkning</t>
        </is>
      </c>
      <c r="D123" s="1" t="n">
        <v>46059</v>
      </c>
      <c r="E123" s="1" t="n">
        <v>46221</v>
      </c>
      <c r="F123" t="inlineStr">
        <is>
          <t>JÖNKÖPINGS LÄN</t>
        </is>
      </c>
      <c r="G123" t="inlineStr">
        <is>
          <t>HABO</t>
        </is>
      </c>
      <c r="I123" t="n">
        <v>0.4</v>
      </c>
      <c r="J123" t="n">
        <v>0</v>
      </c>
      <c r="K123" t="n">
        <v>0</v>
      </c>
      <c r="L123" t="n">
        <v>0</v>
      </c>
      <c r="M123" t="n">
        <v>0</v>
      </c>
      <c r="N123" t="n">
        <v>0</v>
      </c>
      <c r="O123" t="n">
        <v>0</v>
      </c>
      <c r="P123" t="n">
        <v>0</v>
      </c>
      <c r="Q123" t="n">
        <v>0</v>
      </c>
      <c r="R123" t="n">
        <v>0</v>
      </c>
      <c r="S123" t="n">
        <v>0</v>
      </c>
      <c r="T123" t="n">
        <v>0</v>
      </c>
      <c r="U123" s="2" t="inlineStr"/>
    </row>
    <row r="124" ht="15" customHeight="1">
      <c r="A124" t="inlineStr">
        <is>
          <t>A 38122-2025</t>
        </is>
      </c>
      <c r="B124" t="inlineStr">
        <is>
          <t>avverkningsanmälan</t>
        </is>
      </c>
      <c r="C124" t="inlineStr">
        <is>
          <t>Föryngringsavverkning</t>
        </is>
      </c>
      <c r="D124" s="1" t="n">
        <v>45882</v>
      </c>
      <c r="E124" s="1" t="n">
        <v>46221</v>
      </c>
      <c r="F124" t="inlineStr">
        <is>
          <t>JÖNKÖPINGS LÄN</t>
        </is>
      </c>
      <c r="G124" t="inlineStr">
        <is>
          <t>HABO</t>
        </is>
      </c>
      <c r="I124" t="n">
        <v>0.8</v>
      </c>
      <c r="J124" t="n">
        <v>0</v>
      </c>
      <c r="K124" t="n">
        <v>0</v>
      </c>
      <c r="L124" t="n">
        <v>0</v>
      </c>
      <c r="M124" t="n">
        <v>0</v>
      </c>
      <c r="N124" t="n">
        <v>0</v>
      </c>
      <c r="O124" t="n">
        <v>0</v>
      </c>
      <c r="P124" t="n">
        <v>0</v>
      </c>
      <c r="Q124" t="n">
        <v>0</v>
      </c>
      <c r="R124" t="n">
        <v>0</v>
      </c>
      <c r="S124" t="n">
        <v>0</v>
      </c>
      <c r="T124" t="n">
        <v>0</v>
      </c>
      <c r="U124" s="2" t="inlineStr"/>
    </row>
    <row r="125" ht="15" customHeight="1">
      <c r="A125" t="inlineStr">
        <is>
          <t>A 38065-2025</t>
        </is>
      </c>
      <c r="B125" t="inlineStr">
        <is>
          <t>avverkningsanmälan</t>
        </is>
      </c>
      <c r="C125" t="inlineStr">
        <is>
          <t>Föryngringsavverkning</t>
        </is>
      </c>
      <c r="D125" s="1" t="n">
        <v>45882</v>
      </c>
      <c r="E125" s="1" t="n">
        <v>46221</v>
      </c>
      <c r="F125" t="inlineStr">
        <is>
          <t>JÖNKÖPINGS LÄN</t>
        </is>
      </c>
      <c r="G125" t="inlineStr">
        <is>
          <t>HABO</t>
        </is>
      </c>
      <c r="H125" t="inlineStr">
        <is>
          <t>Allmännings- och besparingsskogar</t>
        </is>
      </c>
      <c r="I125" t="n">
        <v>4.1</v>
      </c>
      <c r="J125" t="n">
        <v>0</v>
      </c>
      <c r="K125" t="n">
        <v>0</v>
      </c>
      <c r="L125" t="n">
        <v>0</v>
      </c>
      <c r="M125" t="n">
        <v>0</v>
      </c>
      <c r="N125" t="n">
        <v>0</v>
      </c>
      <c r="O125" t="n">
        <v>0</v>
      </c>
      <c r="P125" t="n">
        <v>0</v>
      </c>
      <c r="Q125" t="n">
        <v>0</v>
      </c>
      <c r="R125" t="n">
        <v>0</v>
      </c>
      <c r="S125" t="n">
        <v>0</v>
      </c>
      <c r="T125" t="n">
        <v>0</v>
      </c>
      <c r="U125" s="2" t="inlineStr"/>
    </row>
    <row r="126" ht="15" customHeight="1">
      <c r="A126" t="inlineStr">
        <is>
          <t>A 38125-2025</t>
        </is>
      </c>
      <c r="B126" t="inlineStr">
        <is>
          <t>avverkningsanmälan</t>
        </is>
      </c>
      <c r="C126" t="inlineStr">
        <is>
          <t>Föryngringsavverkning</t>
        </is>
      </c>
      <c r="D126" s="1" t="n">
        <v>45882</v>
      </c>
      <c r="E126" s="1" t="n">
        <v>46221</v>
      </c>
      <c r="F126" t="inlineStr">
        <is>
          <t>JÖNKÖPINGS LÄN</t>
        </is>
      </c>
      <c r="G126" t="inlineStr">
        <is>
          <t>HABO</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51447-2025</t>
        </is>
      </c>
      <c r="B127" t="inlineStr">
        <is>
          <t>avverkningsanmälan</t>
        </is>
      </c>
      <c r="C127" t="inlineStr">
        <is>
          <t>Föryngringsavverkning</t>
        </is>
      </c>
      <c r="D127" s="1" t="n">
        <v>45950</v>
      </c>
      <c r="E127" s="1" t="n">
        <v>46221</v>
      </c>
      <c r="F127" t="inlineStr">
        <is>
          <t>JÖNKÖPINGS LÄN</t>
        </is>
      </c>
      <c r="G127" t="inlineStr">
        <is>
          <t>HABO</t>
        </is>
      </c>
      <c r="I127" t="n">
        <v>3.8</v>
      </c>
      <c r="J127" t="n">
        <v>0</v>
      </c>
      <c r="K127" t="n">
        <v>0</v>
      </c>
      <c r="L127" t="n">
        <v>0</v>
      </c>
      <c r="M127" t="n">
        <v>0</v>
      </c>
      <c r="N127" t="n">
        <v>0</v>
      </c>
      <c r="O127" t="n">
        <v>0</v>
      </c>
      <c r="P127" t="n">
        <v>0</v>
      </c>
      <c r="Q127" t="n">
        <v>0</v>
      </c>
      <c r="R127" t="n">
        <v>0</v>
      </c>
      <c r="S127" t="n">
        <v>0</v>
      </c>
      <c r="T127" t="n">
        <v>0</v>
      </c>
      <c r="U127" s="2" t="inlineStr"/>
    </row>
    <row r="128" ht="15" customHeight="1">
      <c r="A128" t="inlineStr">
        <is>
          <t>A 32238-2023</t>
        </is>
      </c>
      <c r="B128" t="inlineStr">
        <is>
          <t>avverkningsanmälan</t>
        </is>
      </c>
      <c r="C128" t="inlineStr">
        <is>
          <t>Föryngringsavverkning</t>
        </is>
      </c>
      <c r="D128" s="1" t="n">
        <v>45119</v>
      </c>
      <c r="E128" s="1" t="n">
        <v>46221</v>
      </c>
      <c r="F128" t="inlineStr">
        <is>
          <t>JÖNKÖPINGS LÄN</t>
        </is>
      </c>
      <c r="G128" t="inlineStr">
        <is>
          <t>HABO</t>
        </is>
      </c>
      <c r="I128" t="n">
        <v>1.3</v>
      </c>
      <c r="J128" t="n">
        <v>0</v>
      </c>
      <c r="K128" t="n">
        <v>0</v>
      </c>
      <c r="L128" t="n">
        <v>0</v>
      </c>
      <c r="M128" t="n">
        <v>0</v>
      </c>
      <c r="N128" t="n">
        <v>0</v>
      </c>
      <c r="O128" t="n">
        <v>0</v>
      </c>
      <c r="P128" t="n">
        <v>0</v>
      </c>
      <c r="Q128" t="n">
        <v>0</v>
      </c>
      <c r="R128" t="n">
        <v>0</v>
      </c>
      <c r="S128" t="n">
        <v>0</v>
      </c>
      <c r="T128" t="n">
        <v>0</v>
      </c>
      <c r="U128" s="2" t="inlineStr"/>
    </row>
    <row r="129" ht="15" customHeight="1">
      <c r="A129" t="inlineStr">
        <is>
          <t>A 32245-2023</t>
        </is>
      </c>
      <c r="B129" t="inlineStr">
        <is>
          <t>avverkningsanmälan</t>
        </is>
      </c>
      <c r="C129" t="inlineStr">
        <is>
          <t>Föryngringsavverkning</t>
        </is>
      </c>
      <c r="D129" s="1" t="n">
        <v>45119</v>
      </c>
      <c r="E129" s="1" t="n">
        <v>46221</v>
      </c>
      <c r="F129" t="inlineStr">
        <is>
          <t>JÖNKÖPINGS LÄN</t>
        </is>
      </c>
      <c r="G129" t="inlineStr">
        <is>
          <t>HABO</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32246-2023</t>
        </is>
      </c>
      <c r="B130" t="inlineStr">
        <is>
          <t>avverkningsanmälan</t>
        </is>
      </c>
      <c r="C130" t="inlineStr">
        <is>
          <t>Föryngringsavverkning</t>
        </is>
      </c>
      <c r="D130" s="1" t="n">
        <v>45120</v>
      </c>
      <c r="E130" s="1" t="n">
        <v>46221</v>
      </c>
      <c r="F130" t="inlineStr">
        <is>
          <t>JÖNKÖPINGS LÄN</t>
        </is>
      </c>
      <c r="G130" t="inlineStr">
        <is>
          <t>HABO</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51676-2025</t>
        </is>
      </c>
      <c r="B131" t="inlineStr">
        <is>
          <t>avverkningsanmälan</t>
        </is>
      </c>
      <c r="C131" t="inlineStr">
        <is>
          <t>Föryngringsavverkning</t>
        </is>
      </c>
      <c r="D131" s="1" t="n">
        <v>45951</v>
      </c>
      <c r="E131" s="1" t="n">
        <v>46221</v>
      </c>
      <c r="F131" t="inlineStr">
        <is>
          <t>JÖNKÖPINGS LÄN</t>
        </is>
      </c>
      <c r="G131" t="inlineStr">
        <is>
          <t>HABO</t>
        </is>
      </c>
      <c r="I131" t="n">
        <v>2.3</v>
      </c>
      <c r="J131" t="n">
        <v>0</v>
      </c>
      <c r="K131" t="n">
        <v>0</v>
      </c>
      <c r="L131" t="n">
        <v>0</v>
      </c>
      <c r="M131" t="n">
        <v>0</v>
      </c>
      <c r="N131" t="n">
        <v>0</v>
      </c>
      <c r="O131" t="n">
        <v>0</v>
      </c>
      <c r="P131" t="n">
        <v>0</v>
      </c>
      <c r="Q131" t="n">
        <v>0</v>
      </c>
      <c r="R131" t="n">
        <v>0</v>
      </c>
      <c r="S131" t="n">
        <v>0</v>
      </c>
      <c r="T131" t="n">
        <v>0</v>
      </c>
      <c r="U131" s="2" t="inlineStr"/>
    </row>
    <row r="132" ht="15" customHeight="1">
      <c r="A132" t="inlineStr">
        <is>
          <t>A 35369-2023</t>
        </is>
      </c>
      <c r="B132" t="inlineStr">
        <is>
          <t>avverkningsanmälan</t>
        </is>
      </c>
      <c r="C132" t="inlineStr">
        <is>
          <t>Föryngringsavverkning</t>
        </is>
      </c>
      <c r="D132" s="1" t="n">
        <v>45146</v>
      </c>
      <c r="E132" s="1" t="n">
        <v>46221</v>
      </c>
      <c r="F132" t="inlineStr">
        <is>
          <t>JÖNKÖPINGS LÄN</t>
        </is>
      </c>
      <c r="G132" t="inlineStr">
        <is>
          <t>HABO</t>
        </is>
      </c>
      <c r="I132" t="n">
        <v>3.3</v>
      </c>
      <c r="J132" t="n">
        <v>0</v>
      </c>
      <c r="K132" t="n">
        <v>0</v>
      </c>
      <c r="L132" t="n">
        <v>0</v>
      </c>
      <c r="M132" t="n">
        <v>0</v>
      </c>
      <c r="N132" t="n">
        <v>0</v>
      </c>
      <c r="O132" t="n">
        <v>0</v>
      </c>
      <c r="P132" t="n">
        <v>0</v>
      </c>
      <c r="Q132" t="n">
        <v>0</v>
      </c>
      <c r="R132" t="n">
        <v>0</v>
      </c>
      <c r="S132" t="n">
        <v>0</v>
      </c>
      <c r="T132" t="n">
        <v>0</v>
      </c>
      <c r="U132" s="2" t="inlineStr"/>
    </row>
    <row r="133" ht="15" customHeight="1">
      <c r="A133" t="inlineStr">
        <is>
          <t>A 272-2025</t>
        </is>
      </c>
      <c r="B133" t="inlineStr">
        <is>
          <t>avverkningsanmälan</t>
        </is>
      </c>
      <c r="C133" t="inlineStr">
        <is>
          <t>Föryngringsavverkning</t>
        </is>
      </c>
      <c r="D133" s="1" t="n">
        <v>45660</v>
      </c>
      <c r="E133" s="1" t="n">
        <v>46221</v>
      </c>
      <c r="F133" t="inlineStr">
        <is>
          <t>JÖNKÖPINGS LÄN</t>
        </is>
      </c>
      <c r="G133" t="inlineStr">
        <is>
          <t>HABO</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61665-2024</t>
        </is>
      </c>
      <c r="B134" t="inlineStr">
        <is>
          <t>avverkningsanmälan</t>
        </is>
      </c>
      <c r="C134" t="inlineStr">
        <is>
          <t>Föryngringsavverkning</t>
        </is>
      </c>
      <c r="D134" s="1" t="n">
        <v>45647</v>
      </c>
      <c r="E134" s="1" t="n">
        <v>46221</v>
      </c>
      <c r="F134" t="inlineStr">
        <is>
          <t>JÖNKÖPINGS LÄN</t>
        </is>
      </c>
      <c r="G134" t="inlineStr">
        <is>
          <t>HABO</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9016-2026</t>
        </is>
      </c>
      <c r="B135" t="inlineStr">
        <is>
          <t>avverkningsanmälan</t>
        </is>
      </c>
      <c r="C135" t="inlineStr">
        <is>
          <t>Föryngringsavverkning</t>
        </is>
      </c>
      <c r="D135" s="1" t="n">
        <v>46069</v>
      </c>
      <c r="E135" s="1" t="n">
        <v>46221</v>
      </c>
      <c r="F135" t="inlineStr">
        <is>
          <t>JÖNKÖPINGS LÄN</t>
        </is>
      </c>
      <c r="G135" t="inlineStr">
        <is>
          <t>HABO</t>
        </is>
      </c>
      <c r="I135" t="n">
        <v>6</v>
      </c>
      <c r="J135" t="n">
        <v>0</v>
      </c>
      <c r="K135" t="n">
        <v>0</v>
      </c>
      <c r="L135" t="n">
        <v>0</v>
      </c>
      <c r="M135" t="n">
        <v>0</v>
      </c>
      <c r="N135" t="n">
        <v>0</v>
      </c>
      <c r="O135" t="n">
        <v>0</v>
      </c>
      <c r="P135" t="n">
        <v>0</v>
      </c>
      <c r="Q135" t="n">
        <v>0</v>
      </c>
      <c r="R135" t="n">
        <v>0</v>
      </c>
      <c r="S135" t="n">
        <v>0</v>
      </c>
      <c r="T135" t="n">
        <v>0</v>
      </c>
      <c r="U135" s="2" t="inlineStr"/>
    </row>
    <row r="136" ht="15" customHeight="1">
      <c r="A136" t="inlineStr">
        <is>
          <t>A 28690-2024</t>
        </is>
      </c>
      <c r="B136" t="inlineStr">
        <is>
          <t>avverkningsanmälan</t>
        </is>
      </c>
      <c r="C136" t="inlineStr">
        <is>
          <t>Föryngringsavverkning</t>
        </is>
      </c>
      <c r="D136" s="1" t="n">
        <v>45478</v>
      </c>
      <c r="E136" s="1" t="n">
        <v>46221</v>
      </c>
      <c r="F136" t="inlineStr">
        <is>
          <t>JÖNKÖPINGS LÄN</t>
        </is>
      </c>
      <c r="G136" t="inlineStr">
        <is>
          <t>HABO</t>
        </is>
      </c>
      <c r="I136" t="n">
        <v>1.4</v>
      </c>
      <c r="J136" t="n">
        <v>0</v>
      </c>
      <c r="K136" t="n">
        <v>0</v>
      </c>
      <c r="L136" t="n">
        <v>0</v>
      </c>
      <c r="M136" t="n">
        <v>0</v>
      </c>
      <c r="N136" t="n">
        <v>0</v>
      </c>
      <c r="O136" t="n">
        <v>0</v>
      </c>
      <c r="P136" t="n">
        <v>0</v>
      </c>
      <c r="Q136" t="n">
        <v>0</v>
      </c>
      <c r="R136" t="n">
        <v>0</v>
      </c>
      <c r="S136" t="n">
        <v>0</v>
      </c>
      <c r="T136" t="n">
        <v>0</v>
      </c>
      <c r="U136" s="2" t="inlineStr"/>
    </row>
    <row r="137" ht="15" customHeight="1">
      <c r="A137" t="inlineStr">
        <is>
          <t>A 23148-2024</t>
        </is>
      </c>
      <c r="B137" t="inlineStr">
        <is>
          <t>avverkningsanmälan</t>
        </is>
      </c>
      <c r="C137" t="inlineStr">
        <is>
          <t>Föryngringsavverkning</t>
        </is>
      </c>
      <c r="D137" s="1" t="n">
        <v>45450</v>
      </c>
      <c r="E137" s="1" t="n">
        <v>46221</v>
      </c>
      <c r="F137" t="inlineStr">
        <is>
          <t>JÖNKÖPINGS LÄN</t>
        </is>
      </c>
      <c r="G137" t="inlineStr">
        <is>
          <t>HABO</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23153-2024</t>
        </is>
      </c>
      <c r="B138" t="inlineStr">
        <is>
          <t>avverkningsanmälan</t>
        </is>
      </c>
      <c r="C138" t="inlineStr">
        <is>
          <t>Föryngringsavverkning</t>
        </is>
      </c>
      <c r="D138" s="1" t="n">
        <v>45450</v>
      </c>
      <c r="E138" s="1" t="n">
        <v>46221</v>
      </c>
      <c r="F138" t="inlineStr">
        <is>
          <t>JÖNKÖPINGS LÄN</t>
        </is>
      </c>
      <c r="G138" t="inlineStr">
        <is>
          <t>HABO</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6229-2025</t>
        </is>
      </c>
      <c r="B139" t="inlineStr">
        <is>
          <t>avverkningsanmälan</t>
        </is>
      </c>
      <c r="C139" t="inlineStr">
        <is>
          <t>Föryngringsavverkning</t>
        </is>
      </c>
      <c r="D139" s="1" t="n">
        <v>45698</v>
      </c>
      <c r="E139" s="1" t="n">
        <v>46221</v>
      </c>
      <c r="F139" t="inlineStr">
        <is>
          <t>JÖNKÖPINGS LÄN</t>
        </is>
      </c>
      <c r="G139" t="inlineStr">
        <is>
          <t>HABO</t>
        </is>
      </c>
      <c r="I139" t="n">
        <v>2.5</v>
      </c>
      <c r="J139" t="n">
        <v>0</v>
      </c>
      <c r="K139" t="n">
        <v>0</v>
      </c>
      <c r="L139" t="n">
        <v>0</v>
      </c>
      <c r="M139" t="n">
        <v>0</v>
      </c>
      <c r="N139" t="n">
        <v>0</v>
      </c>
      <c r="O139" t="n">
        <v>0</v>
      </c>
      <c r="P139" t="n">
        <v>0</v>
      </c>
      <c r="Q139" t="n">
        <v>0</v>
      </c>
      <c r="R139" t="n">
        <v>0</v>
      </c>
      <c r="S139" t="n">
        <v>0</v>
      </c>
      <c r="T139" t="n">
        <v>0</v>
      </c>
      <c r="U139" s="2" t="inlineStr"/>
    </row>
    <row r="140" ht="15" customHeight="1">
      <c r="A140" t="inlineStr">
        <is>
          <t>A 4549-2025</t>
        </is>
      </c>
      <c r="B140" t="inlineStr">
        <is>
          <t>avverkningsanmälan</t>
        </is>
      </c>
      <c r="C140" t="inlineStr">
        <is>
          <t>Föryngringsavverkning</t>
        </is>
      </c>
      <c r="D140" s="1" t="n">
        <v>45687</v>
      </c>
      <c r="E140" s="1" t="n">
        <v>46221</v>
      </c>
      <c r="F140" t="inlineStr">
        <is>
          <t>JÖNKÖPINGS LÄN</t>
        </is>
      </c>
      <c r="G140" t="inlineStr">
        <is>
          <t>HABO</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17519-2025</t>
        </is>
      </c>
      <c r="B141" t="inlineStr">
        <is>
          <t>avverkningsanmälan</t>
        </is>
      </c>
      <c r="C141" t="inlineStr">
        <is>
          <t>Föryngringsavverkning</t>
        </is>
      </c>
      <c r="D141" s="1" t="n">
        <v>45757</v>
      </c>
      <c r="E141" s="1" t="n">
        <v>46221</v>
      </c>
      <c r="F141" t="inlineStr">
        <is>
          <t>JÖNKÖPINGS LÄN</t>
        </is>
      </c>
      <c r="G141" t="inlineStr">
        <is>
          <t>HABO</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17520-2025</t>
        </is>
      </c>
      <c r="B142" t="inlineStr">
        <is>
          <t>avverkningsanmälan</t>
        </is>
      </c>
      <c r="C142" t="inlineStr">
        <is>
          <t>Föryngringsavverkning</t>
        </is>
      </c>
      <c r="D142" s="1" t="n">
        <v>45757</v>
      </c>
      <c r="E142" s="1" t="n">
        <v>46221</v>
      </c>
      <c r="F142" t="inlineStr">
        <is>
          <t>JÖNKÖPINGS LÄN</t>
        </is>
      </c>
      <c r="G142" t="inlineStr">
        <is>
          <t>HABO</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55647-2025</t>
        </is>
      </c>
      <c r="B143" t="inlineStr">
        <is>
          <t>avverkningsanmälan</t>
        </is>
      </c>
      <c r="C143" t="inlineStr">
        <is>
          <t>Avverkning för annat ändamål</t>
        </is>
      </c>
      <c r="D143" s="1" t="n">
        <v>45972</v>
      </c>
      <c r="E143" s="1" t="n">
        <v>46221</v>
      </c>
      <c r="F143" t="inlineStr">
        <is>
          <t>JÖNKÖPINGS LÄN</t>
        </is>
      </c>
      <c r="G143" t="inlineStr">
        <is>
          <t>HABO</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30350-2023</t>
        </is>
      </c>
      <c r="B144" t="inlineStr">
        <is>
          <t>avverkningsanmälan</t>
        </is>
      </c>
      <c r="C144" t="inlineStr">
        <is>
          <t>Föryngringsavverkning</t>
        </is>
      </c>
      <c r="D144" s="1" t="n">
        <v>45111</v>
      </c>
      <c r="E144" s="1" t="n">
        <v>46221</v>
      </c>
      <c r="F144" t="inlineStr">
        <is>
          <t>JÖNKÖPINGS LÄN</t>
        </is>
      </c>
      <c r="G144" t="inlineStr">
        <is>
          <t>HABO</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56266-2025</t>
        </is>
      </c>
      <c r="B145" t="inlineStr">
        <is>
          <t>avverkningsanmälan</t>
        </is>
      </c>
      <c r="C145" t="inlineStr">
        <is>
          <t>Föryngringsavverkning</t>
        </is>
      </c>
      <c r="D145" s="1" t="n">
        <v>45974</v>
      </c>
      <c r="E145" s="1" t="n">
        <v>46221</v>
      </c>
      <c r="F145" t="inlineStr">
        <is>
          <t>JÖNKÖPINGS LÄN</t>
        </is>
      </c>
      <c r="G145" t="inlineStr">
        <is>
          <t>HABO</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55368-2024</t>
        </is>
      </c>
      <c r="B146" t="inlineStr">
        <is>
          <t>avverkningsanmälan</t>
        </is>
      </c>
      <c r="C146" t="inlineStr">
        <is>
          <t>Avverkning för annat ändamål</t>
        </is>
      </c>
      <c r="D146" s="1" t="n">
        <v>45621</v>
      </c>
      <c r="E146" s="1" t="n">
        <v>46221</v>
      </c>
      <c r="F146" t="inlineStr">
        <is>
          <t>JÖNKÖPINGS LÄN</t>
        </is>
      </c>
      <c r="G146" t="inlineStr">
        <is>
          <t>HABO</t>
        </is>
      </c>
      <c r="I146" t="n">
        <v>4.6</v>
      </c>
      <c r="J146" t="n">
        <v>0</v>
      </c>
      <c r="K146" t="n">
        <v>0</v>
      </c>
      <c r="L146" t="n">
        <v>0</v>
      </c>
      <c r="M146" t="n">
        <v>0</v>
      </c>
      <c r="N146" t="n">
        <v>0</v>
      </c>
      <c r="O146" t="n">
        <v>0</v>
      </c>
      <c r="P146" t="n">
        <v>0</v>
      </c>
      <c r="Q146" t="n">
        <v>0</v>
      </c>
      <c r="R146" t="n">
        <v>0</v>
      </c>
      <c r="S146" t="n">
        <v>0</v>
      </c>
      <c r="T146" t="n">
        <v>0</v>
      </c>
      <c r="U146" s="2" t="inlineStr"/>
    </row>
    <row r="147" ht="15" customHeight="1">
      <c r="A147" t="inlineStr">
        <is>
          <t>A 55375-2024</t>
        </is>
      </c>
      <c r="B147" t="inlineStr">
        <is>
          <t>avverkningsanmälan</t>
        </is>
      </c>
      <c r="C147" t="inlineStr">
        <is>
          <t>Föryngringsavverkning</t>
        </is>
      </c>
      <c r="D147" s="1" t="n">
        <v>45621</v>
      </c>
      <c r="E147" s="1" t="n">
        <v>46221</v>
      </c>
      <c r="F147" t="inlineStr">
        <is>
          <t>JÖNKÖPINGS LÄN</t>
        </is>
      </c>
      <c r="G147" t="inlineStr">
        <is>
          <t>HABO</t>
        </is>
      </c>
      <c r="I147" t="n">
        <v>3.3</v>
      </c>
      <c r="J147" t="n">
        <v>0</v>
      </c>
      <c r="K147" t="n">
        <v>0</v>
      </c>
      <c r="L147" t="n">
        <v>0</v>
      </c>
      <c r="M147" t="n">
        <v>0</v>
      </c>
      <c r="N147" t="n">
        <v>0</v>
      </c>
      <c r="O147" t="n">
        <v>0</v>
      </c>
      <c r="P147" t="n">
        <v>0</v>
      </c>
      <c r="Q147" t="n">
        <v>0</v>
      </c>
      <c r="R147" t="n">
        <v>0</v>
      </c>
      <c r="S147" t="n">
        <v>0</v>
      </c>
      <c r="T147" t="n">
        <v>0</v>
      </c>
      <c r="U147" s="2" t="inlineStr"/>
    </row>
    <row r="148" ht="15" customHeight="1">
      <c r="A148" t="inlineStr">
        <is>
          <t>A 30863-2023</t>
        </is>
      </c>
      <c r="B148" t="inlineStr">
        <is>
          <t>avverkningsanmälan</t>
        </is>
      </c>
      <c r="C148" t="inlineStr">
        <is>
          <t>Föryngringsavverkning</t>
        </is>
      </c>
      <c r="D148" s="1" t="n">
        <v>45113</v>
      </c>
      <c r="E148" s="1" t="n">
        <v>46221</v>
      </c>
      <c r="F148" t="inlineStr">
        <is>
          <t>JÖNKÖPINGS LÄN</t>
        </is>
      </c>
      <c r="G148" t="inlineStr">
        <is>
          <t>HABO</t>
        </is>
      </c>
      <c r="I148" t="n">
        <v>2.8</v>
      </c>
      <c r="J148" t="n">
        <v>0</v>
      </c>
      <c r="K148" t="n">
        <v>0</v>
      </c>
      <c r="L148" t="n">
        <v>0</v>
      </c>
      <c r="M148" t="n">
        <v>0</v>
      </c>
      <c r="N148" t="n">
        <v>0</v>
      </c>
      <c r="O148" t="n">
        <v>0</v>
      </c>
      <c r="P148" t="n">
        <v>0</v>
      </c>
      <c r="Q148" t="n">
        <v>0</v>
      </c>
      <c r="R148" t="n">
        <v>0</v>
      </c>
      <c r="S148" t="n">
        <v>0</v>
      </c>
      <c r="T148" t="n">
        <v>0</v>
      </c>
      <c r="U148" s="2" t="inlineStr"/>
    </row>
    <row r="149" ht="15" customHeight="1">
      <c r="A149" t="inlineStr">
        <is>
          <t>A 41910-2022</t>
        </is>
      </c>
      <c r="B149" t="inlineStr">
        <is>
          <t>avverkningsanmälan</t>
        </is>
      </c>
      <c r="C149" t="inlineStr">
        <is>
          <t>Föryngringsavverkning</t>
        </is>
      </c>
      <c r="D149" s="1" t="n">
        <v>44830</v>
      </c>
      <c r="E149" s="1" t="n">
        <v>46221</v>
      </c>
      <c r="F149" t="inlineStr">
        <is>
          <t>JÖNKÖPINGS LÄN</t>
        </is>
      </c>
      <c r="G149" t="inlineStr">
        <is>
          <t>HABO</t>
        </is>
      </c>
      <c r="I149" t="n">
        <v>7.6</v>
      </c>
      <c r="J149" t="n">
        <v>0</v>
      </c>
      <c r="K149" t="n">
        <v>0</v>
      </c>
      <c r="L149" t="n">
        <v>0</v>
      </c>
      <c r="M149" t="n">
        <v>0</v>
      </c>
      <c r="N149" t="n">
        <v>0</v>
      </c>
      <c r="O149" t="n">
        <v>0</v>
      </c>
      <c r="P149" t="n">
        <v>0</v>
      </c>
      <c r="Q149" t="n">
        <v>0</v>
      </c>
      <c r="R149" t="n">
        <v>0</v>
      </c>
      <c r="S149" t="n">
        <v>0</v>
      </c>
      <c r="T149" t="n">
        <v>0</v>
      </c>
      <c r="U149" s="2" t="inlineStr"/>
    </row>
    <row r="150" ht="15" customHeight="1">
      <c r="A150" t="inlineStr">
        <is>
          <t>A 13880-2023</t>
        </is>
      </c>
      <c r="B150" t="inlineStr">
        <is>
          <t>avverkningsanmälan</t>
        </is>
      </c>
      <c r="C150" t="inlineStr">
        <is>
          <t>Föryngringsavverkning</t>
        </is>
      </c>
      <c r="D150" s="1" t="n">
        <v>45007</v>
      </c>
      <c r="E150" s="1" t="n">
        <v>46221</v>
      </c>
      <c r="F150" t="inlineStr">
        <is>
          <t>JÖNKÖPINGS LÄN</t>
        </is>
      </c>
      <c r="G150" t="inlineStr">
        <is>
          <t>HABO</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16459-2025</t>
        </is>
      </c>
      <c r="B151" t="inlineStr">
        <is>
          <t>avverkningsanmälan</t>
        </is>
      </c>
      <c r="C151" t="inlineStr">
        <is>
          <t>Föryngringsavverkning</t>
        </is>
      </c>
      <c r="D151" s="1" t="n">
        <v>45751</v>
      </c>
      <c r="E151" s="1" t="n">
        <v>46221</v>
      </c>
      <c r="F151" t="inlineStr">
        <is>
          <t>JÖNKÖPINGS LÄN</t>
        </is>
      </c>
      <c r="G151" t="inlineStr">
        <is>
          <t>HABO</t>
        </is>
      </c>
      <c r="I151" t="n">
        <v>0.9</v>
      </c>
      <c r="J151" t="n">
        <v>0</v>
      </c>
      <c r="K151" t="n">
        <v>0</v>
      </c>
      <c r="L151" t="n">
        <v>0</v>
      </c>
      <c r="M151" t="n">
        <v>0</v>
      </c>
      <c r="N151" t="n">
        <v>0</v>
      </c>
      <c r="O151" t="n">
        <v>0</v>
      </c>
      <c r="P151" t="n">
        <v>0</v>
      </c>
      <c r="Q151" t="n">
        <v>0</v>
      </c>
      <c r="R151" t="n">
        <v>0</v>
      </c>
      <c r="S151" t="n">
        <v>0</v>
      </c>
      <c r="T151" t="n">
        <v>0</v>
      </c>
      <c r="U151" s="2" t="inlineStr"/>
    </row>
    <row r="152" ht="15" customHeight="1">
      <c r="A152" t="inlineStr">
        <is>
          <t>A 40883-2023</t>
        </is>
      </c>
      <c r="B152" t="inlineStr">
        <is>
          <t>avverkningsanmälan</t>
        </is>
      </c>
      <c r="C152" t="inlineStr">
        <is>
          <t>Föryngringsavverkning</t>
        </is>
      </c>
      <c r="D152" s="1" t="n">
        <v>45173</v>
      </c>
      <c r="E152" s="1" t="n">
        <v>46221</v>
      </c>
      <c r="F152" t="inlineStr">
        <is>
          <t>JÖNKÖPINGS LÄN</t>
        </is>
      </c>
      <c r="G152" t="inlineStr">
        <is>
          <t>HABO</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53264-2022</t>
        </is>
      </c>
      <c r="B153" t="inlineStr">
        <is>
          <t>avverkningsanmälan</t>
        </is>
      </c>
      <c r="C153" t="inlineStr">
        <is>
          <t>Föryngringsavverkning</t>
        </is>
      </c>
      <c r="D153" s="1" t="n">
        <v>44876</v>
      </c>
      <c r="E153" s="1" t="n">
        <v>46221</v>
      </c>
      <c r="F153" t="inlineStr">
        <is>
          <t>JÖNKÖPINGS LÄN</t>
        </is>
      </c>
      <c r="G153" t="inlineStr">
        <is>
          <t>HABO</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58527-2025</t>
        </is>
      </c>
      <c r="B154" t="inlineStr">
        <is>
          <t>avverkningsanmälan</t>
        </is>
      </c>
      <c r="C154" t="inlineStr">
        <is>
          <t>Föryngringsavverkning</t>
        </is>
      </c>
      <c r="D154" s="1" t="n">
        <v>45985</v>
      </c>
      <c r="E154" s="1" t="n">
        <v>46221</v>
      </c>
      <c r="F154" t="inlineStr">
        <is>
          <t>JÖNKÖPINGS LÄN</t>
        </is>
      </c>
      <c r="G154" t="inlineStr">
        <is>
          <t>HABO</t>
        </is>
      </c>
      <c r="H154" t="inlineStr">
        <is>
          <t>Sveaskog</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58528-2025</t>
        </is>
      </c>
      <c r="B155" t="inlineStr">
        <is>
          <t>avverkningsanmälan</t>
        </is>
      </c>
      <c r="C155" t="inlineStr">
        <is>
          <t>Föryngringsavverkning</t>
        </is>
      </c>
      <c r="D155" s="1" t="n">
        <v>45985</v>
      </c>
      <c r="E155" s="1" t="n">
        <v>46221</v>
      </c>
      <c r="F155" t="inlineStr">
        <is>
          <t>JÖNKÖPINGS LÄN</t>
        </is>
      </c>
      <c r="G155" t="inlineStr">
        <is>
          <t>HABO</t>
        </is>
      </c>
      <c r="H155" t="inlineStr">
        <is>
          <t>Sveaskog</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58158-2025</t>
        </is>
      </c>
      <c r="B156" t="inlineStr">
        <is>
          <t>avverkningsanmälan</t>
        </is>
      </c>
      <c r="C156" t="inlineStr">
        <is>
          <t>Föryngringsavverkning</t>
        </is>
      </c>
      <c r="D156" s="1" t="n">
        <v>45982</v>
      </c>
      <c r="E156" s="1" t="n">
        <v>46221</v>
      </c>
      <c r="F156" t="inlineStr">
        <is>
          <t>JÖNKÖPINGS LÄN</t>
        </is>
      </c>
      <c r="G156" t="inlineStr">
        <is>
          <t>HABO</t>
        </is>
      </c>
      <c r="I156" t="n">
        <v>3.7</v>
      </c>
      <c r="J156" t="n">
        <v>0</v>
      </c>
      <c r="K156" t="n">
        <v>0</v>
      </c>
      <c r="L156" t="n">
        <v>0</v>
      </c>
      <c r="M156" t="n">
        <v>0</v>
      </c>
      <c r="N156" t="n">
        <v>0</v>
      </c>
      <c r="O156" t="n">
        <v>0</v>
      </c>
      <c r="P156" t="n">
        <v>0</v>
      </c>
      <c r="Q156" t="n">
        <v>0</v>
      </c>
      <c r="R156" t="n">
        <v>0</v>
      </c>
      <c r="S156" t="n">
        <v>0</v>
      </c>
      <c r="T156" t="n">
        <v>0</v>
      </c>
      <c r="U156" s="2" t="inlineStr"/>
    </row>
    <row r="157" ht="15" customHeight="1">
      <c r="A157" t="inlineStr">
        <is>
          <t>A 45601-2022</t>
        </is>
      </c>
      <c r="B157" t="inlineStr">
        <is>
          <t>avverkningsanmälan</t>
        </is>
      </c>
      <c r="C157" t="inlineStr">
        <is>
          <t>Föryngringsavverkning</t>
        </is>
      </c>
      <c r="D157" s="1" t="n">
        <v>44845</v>
      </c>
      <c r="E157" s="1" t="n">
        <v>46221</v>
      </c>
      <c r="F157" t="inlineStr">
        <is>
          <t>JÖNKÖPINGS LÄN</t>
        </is>
      </c>
      <c r="G157" t="inlineStr">
        <is>
          <t>HABO</t>
        </is>
      </c>
      <c r="I157" t="n">
        <v>3</v>
      </c>
      <c r="J157" t="n">
        <v>0</v>
      </c>
      <c r="K157" t="n">
        <v>0</v>
      </c>
      <c r="L157" t="n">
        <v>0</v>
      </c>
      <c r="M157" t="n">
        <v>0</v>
      </c>
      <c r="N157" t="n">
        <v>0</v>
      </c>
      <c r="O157" t="n">
        <v>0</v>
      </c>
      <c r="P157" t="n">
        <v>0</v>
      </c>
      <c r="Q157" t="n">
        <v>0</v>
      </c>
      <c r="R157" t="n">
        <v>0</v>
      </c>
      <c r="S157" t="n">
        <v>0</v>
      </c>
      <c r="T157" t="n">
        <v>0</v>
      </c>
      <c r="U157" s="2" t="inlineStr"/>
    </row>
    <row r="158" ht="15" customHeight="1">
      <c r="A158" t="inlineStr">
        <is>
          <t>A 56767-2022</t>
        </is>
      </c>
      <c r="B158" t="inlineStr">
        <is>
          <t>avverkningsanmälan</t>
        </is>
      </c>
      <c r="C158" t="inlineStr">
        <is>
          <t>Föryngringsavverkning</t>
        </is>
      </c>
      <c r="D158" s="1" t="n">
        <v>44894</v>
      </c>
      <c r="E158" s="1" t="n">
        <v>46221</v>
      </c>
      <c r="F158" t="inlineStr">
        <is>
          <t>JÖNKÖPINGS LÄN</t>
        </is>
      </c>
      <c r="G158" t="inlineStr">
        <is>
          <t>HABO</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54989-2024</t>
        </is>
      </c>
      <c r="B159" t="inlineStr">
        <is>
          <t>avverkningsanmälan</t>
        </is>
      </c>
      <c r="C159" t="inlineStr">
        <is>
          <t>Föryngringsavverkning</t>
        </is>
      </c>
      <c r="D159" s="1" t="n">
        <v>45620</v>
      </c>
      <c r="E159" s="1" t="n">
        <v>46221</v>
      </c>
      <c r="F159" t="inlineStr">
        <is>
          <t>JÖNKÖPINGS LÄN</t>
        </is>
      </c>
      <c r="G159" t="inlineStr">
        <is>
          <t>HABO</t>
        </is>
      </c>
      <c r="I159" t="n">
        <v>2.1</v>
      </c>
      <c r="J159" t="n">
        <v>0</v>
      </c>
      <c r="K159" t="n">
        <v>0</v>
      </c>
      <c r="L159" t="n">
        <v>0</v>
      </c>
      <c r="M159" t="n">
        <v>0</v>
      </c>
      <c r="N159" t="n">
        <v>0</v>
      </c>
      <c r="O159" t="n">
        <v>0</v>
      </c>
      <c r="P159" t="n">
        <v>0</v>
      </c>
      <c r="Q159" t="n">
        <v>0</v>
      </c>
      <c r="R159" t="n">
        <v>0</v>
      </c>
      <c r="S159" t="n">
        <v>0</v>
      </c>
      <c r="T159" t="n">
        <v>0</v>
      </c>
      <c r="U159" s="2" t="inlineStr"/>
    </row>
    <row r="160" ht="15" customHeight="1">
      <c r="A160" t="inlineStr">
        <is>
          <t>A 26207-2023</t>
        </is>
      </c>
      <c r="B160" t="inlineStr">
        <is>
          <t>avverkningsanmälan</t>
        </is>
      </c>
      <c r="C160" t="inlineStr">
        <is>
          <t>Föryngringsavverkning</t>
        </is>
      </c>
      <c r="D160" s="1" t="n">
        <v>45091</v>
      </c>
      <c r="E160" s="1" t="n">
        <v>46221</v>
      </c>
      <c r="F160" t="inlineStr">
        <is>
          <t>JÖNKÖPINGS LÄN</t>
        </is>
      </c>
      <c r="G160" t="inlineStr">
        <is>
          <t>HABO</t>
        </is>
      </c>
      <c r="I160" t="n">
        <v>3</v>
      </c>
      <c r="J160" t="n">
        <v>0</v>
      </c>
      <c r="K160" t="n">
        <v>0</v>
      </c>
      <c r="L160" t="n">
        <v>0</v>
      </c>
      <c r="M160" t="n">
        <v>0</v>
      </c>
      <c r="N160" t="n">
        <v>0</v>
      </c>
      <c r="O160" t="n">
        <v>0</v>
      </c>
      <c r="P160" t="n">
        <v>0</v>
      </c>
      <c r="Q160" t="n">
        <v>0</v>
      </c>
      <c r="R160" t="n">
        <v>0</v>
      </c>
      <c r="S160" t="n">
        <v>0</v>
      </c>
      <c r="T160" t="n">
        <v>0</v>
      </c>
      <c r="U160" s="2" t="inlineStr"/>
    </row>
    <row r="161" ht="15" customHeight="1">
      <c r="A161" t="inlineStr">
        <is>
          <t>A 28810-2022</t>
        </is>
      </c>
      <c r="B161" t="inlineStr">
        <is>
          <t>avverkningsanmälan</t>
        </is>
      </c>
      <c r="C161" t="inlineStr">
        <is>
          <t>Föryngringsavverkning</t>
        </is>
      </c>
      <c r="D161" s="1" t="n">
        <v>44749</v>
      </c>
      <c r="E161" s="1" t="n">
        <v>46221</v>
      </c>
      <c r="F161" t="inlineStr">
        <is>
          <t>JÖNKÖPINGS LÄN</t>
        </is>
      </c>
      <c r="G161" t="inlineStr">
        <is>
          <t>HABO</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61271-2025</t>
        </is>
      </c>
      <c r="B162" t="inlineStr">
        <is>
          <t>avverkningsanmälan</t>
        </is>
      </c>
      <c r="C162" t="inlineStr">
        <is>
          <t>Föryngringsavverkning</t>
        </is>
      </c>
      <c r="D162" s="1" t="n">
        <v>46000</v>
      </c>
      <c r="E162" s="1" t="n">
        <v>46221</v>
      </c>
      <c r="F162" t="inlineStr">
        <is>
          <t>JÖNKÖPINGS LÄN</t>
        </is>
      </c>
      <c r="G162" t="inlineStr">
        <is>
          <t>HABO</t>
        </is>
      </c>
      <c r="I162" t="n">
        <v>0.8</v>
      </c>
      <c r="J162" t="n">
        <v>0</v>
      </c>
      <c r="K162" t="n">
        <v>0</v>
      </c>
      <c r="L162" t="n">
        <v>0</v>
      </c>
      <c r="M162" t="n">
        <v>0</v>
      </c>
      <c r="N162" t="n">
        <v>0</v>
      </c>
      <c r="O162" t="n">
        <v>0</v>
      </c>
      <c r="P162" t="n">
        <v>0</v>
      </c>
      <c r="Q162" t="n">
        <v>0</v>
      </c>
      <c r="R162" t="n">
        <v>0</v>
      </c>
      <c r="S162" t="n">
        <v>0</v>
      </c>
      <c r="T162" t="n">
        <v>0</v>
      </c>
      <c r="U162" s="2" t="inlineStr"/>
    </row>
    <row r="163" ht="15" customHeight="1">
      <c r="A163" t="inlineStr">
        <is>
          <t>A 54693-2023</t>
        </is>
      </c>
      <c r="B163" t="inlineStr">
        <is>
          <t>avverkningsanmälan</t>
        </is>
      </c>
      <c r="C163" t="inlineStr">
        <is>
          <t>Föryngringsavverkning</t>
        </is>
      </c>
      <c r="D163" s="1" t="n">
        <v>45236</v>
      </c>
      <c r="E163" s="1" t="n">
        <v>46221</v>
      </c>
      <c r="F163" t="inlineStr">
        <is>
          <t>JÖNKÖPINGS LÄN</t>
        </is>
      </c>
      <c r="G163" t="inlineStr">
        <is>
          <t>HABO</t>
        </is>
      </c>
      <c r="I163" t="n">
        <v>5.3</v>
      </c>
      <c r="J163" t="n">
        <v>0</v>
      </c>
      <c r="K163" t="n">
        <v>0</v>
      </c>
      <c r="L163" t="n">
        <v>0</v>
      </c>
      <c r="M163" t="n">
        <v>0</v>
      </c>
      <c r="N163" t="n">
        <v>0</v>
      </c>
      <c r="O163" t="n">
        <v>0</v>
      </c>
      <c r="P163" t="n">
        <v>0</v>
      </c>
      <c r="Q163" t="n">
        <v>0</v>
      </c>
      <c r="R163" t="n">
        <v>0</v>
      </c>
      <c r="S163" t="n">
        <v>0</v>
      </c>
      <c r="T163" t="n">
        <v>0</v>
      </c>
      <c r="U163" s="2" t="inlineStr"/>
    </row>
    <row r="164" ht="15" customHeight="1">
      <c r="A164" t="inlineStr">
        <is>
          <t>A 61275-2025</t>
        </is>
      </c>
      <c r="B164" t="inlineStr">
        <is>
          <t>avverkningsanmälan</t>
        </is>
      </c>
      <c r="C164" t="inlineStr">
        <is>
          <t>Föryngringsavverkning</t>
        </is>
      </c>
      <c r="D164" s="1" t="n">
        <v>46000</v>
      </c>
      <c r="E164" s="1" t="n">
        <v>46221</v>
      </c>
      <c r="F164" t="inlineStr">
        <is>
          <t>JÖNKÖPINGS LÄN</t>
        </is>
      </c>
      <c r="G164" t="inlineStr">
        <is>
          <t>HABO</t>
        </is>
      </c>
      <c r="I164" t="n">
        <v>0.3</v>
      </c>
      <c r="J164" t="n">
        <v>0</v>
      </c>
      <c r="K164" t="n">
        <v>0</v>
      </c>
      <c r="L164" t="n">
        <v>0</v>
      </c>
      <c r="M164" t="n">
        <v>0</v>
      </c>
      <c r="N164" t="n">
        <v>0</v>
      </c>
      <c r="O164" t="n">
        <v>0</v>
      </c>
      <c r="P164" t="n">
        <v>0</v>
      </c>
      <c r="Q164" t="n">
        <v>0</v>
      </c>
      <c r="R164" t="n">
        <v>0</v>
      </c>
      <c r="S164" t="n">
        <v>0</v>
      </c>
      <c r="T164" t="n">
        <v>0</v>
      </c>
      <c r="U164" s="2" t="inlineStr"/>
    </row>
    <row r="165" ht="15" customHeight="1">
      <c r="A165" t="inlineStr">
        <is>
          <t>A 61273-2025</t>
        </is>
      </c>
      <c r="B165" t="inlineStr">
        <is>
          <t>avverkningsanmälan</t>
        </is>
      </c>
      <c r="C165" t="inlineStr">
        <is>
          <t>Föryngringsavverkning</t>
        </is>
      </c>
      <c r="D165" s="1" t="n">
        <v>46000</v>
      </c>
      <c r="E165" s="1" t="n">
        <v>46221</v>
      </c>
      <c r="F165" t="inlineStr">
        <is>
          <t>JÖNKÖPINGS LÄN</t>
        </is>
      </c>
      <c r="G165" t="inlineStr">
        <is>
          <t>HABO</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57999-2024</t>
        </is>
      </c>
      <c r="B166" t="inlineStr">
        <is>
          <t>avverkningsanmälan</t>
        </is>
      </c>
      <c r="C166" t="inlineStr">
        <is>
          <t>Föryngringsavverkning</t>
        </is>
      </c>
      <c r="D166" s="1" t="n">
        <v>45631</v>
      </c>
      <c r="E166" s="1" t="n">
        <v>46221</v>
      </c>
      <c r="F166" t="inlineStr">
        <is>
          <t>JÖNKÖPINGS LÄN</t>
        </is>
      </c>
      <c r="G166" t="inlineStr">
        <is>
          <t>HABO</t>
        </is>
      </c>
      <c r="I166" t="n">
        <v>1.1</v>
      </c>
      <c r="J166" t="n">
        <v>0</v>
      </c>
      <c r="K166" t="n">
        <v>0</v>
      </c>
      <c r="L166" t="n">
        <v>0</v>
      </c>
      <c r="M166" t="n">
        <v>0</v>
      </c>
      <c r="N166" t="n">
        <v>0</v>
      </c>
      <c r="O166" t="n">
        <v>0</v>
      </c>
      <c r="P166" t="n">
        <v>0</v>
      </c>
      <c r="Q166" t="n">
        <v>0</v>
      </c>
      <c r="R166" t="n">
        <v>0</v>
      </c>
      <c r="S166" t="n">
        <v>0</v>
      </c>
      <c r="T166" t="n">
        <v>0</v>
      </c>
      <c r="U166" s="2" t="inlineStr"/>
    </row>
    <row r="167" ht="15" customHeight="1">
      <c r="A167" t="inlineStr">
        <is>
          <t>A 61269-2025</t>
        </is>
      </c>
      <c r="B167" t="inlineStr">
        <is>
          <t>avverkningsanmälan</t>
        </is>
      </c>
      <c r="C167" t="inlineStr">
        <is>
          <t>Föryngringsavverkning</t>
        </is>
      </c>
      <c r="D167" s="1" t="n">
        <v>46000</v>
      </c>
      <c r="E167" s="1" t="n">
        <v>46221</v>
      </c>
      <c r="F167" t="inlineStr">
        <is>
          <t>JÖNKÖPINGS LÄN</t>
        </is>
      </c>
      <c r="G167" t="inlineStr">
        <is>
          <t>HABO</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40638-2024</t>
        </is>
      </c>
      <c r="B168" t="inlineStr">
        <is>
          <t>avverkningsanmälan</t>
        </is>
      </c>
      <c r="C168" t="inlineStr">
        <is>
          <t>Föryngringsavverkning</t>
        </is>
      </c>
      <c r="D168" s="1" t="n">
        <v>45558</v>
      </c>
      <c r="E168" s="1" t="n">
        <v>46221</v>
      </c>
      <c r="F168" t="inlineStr">
        <is>
          <t>JÖNKÖPINGS LÄN</t>
        </is>
      </c>
      <c r="G168" t="inlineStr">
        <is>
          <t>HABO</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28131-2023</t>
        </is>
      </c>
      <c r="B169" t="inlineStr">
        <is>
          <t>avverkningsanmälan</t>
        </is>
      </c>
      <c r="C169" t="inlineStr">
        <is>
          <t>Föryngringsavverkning</t>
        </is>
      </c>
      <c r="D169" s="1" t="n">
        <v>45099</v>
      </c>
      <c r="E169" s="1" t="n">
        <v>46221</v>
      </c>
      <c r="F169" t="inlineStr">
        <is>
          <t>JÖNKÖPINGS LÄN</t>
        </is>
      </c>
      <c r="G169" t="inlineStr">
        <is>
          <t>HABO</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59058-2024</t>
        </is>
      </c>
      <c r="B170" t="inlineStr">
        <is>
          <t>avverkningsanmälan</t>
        </is>
      </c>
      <c r="C170" t="inlineStr">
        <is>
          <t>Föryngringsavverkning</t>
        </is>
      </c>
      <c r="D170" s="1" t="n">
        <v>45636</v>
      </c>
      <c r="E170" s="1" t="n">
        <v>46221</v>
      </c>
      <c r="F170" t="inlineStr">
        <is>
          <t>JÖNKÖPINGS LÄN</t>
        </is>
      </c>
      <c r="G170" t="inlineStr">
        <is>
          <t>HABO</t>
        </is>
      </c>
      <c r="I170" t="n">
        <v>0.4</v>
      </c>
      <c r="J170" t="n">
        <v>0</v>
      </c>
      <c r="K170" t="n">
        <v>0</v>
      </c>
      <c r="L170" t="n">
        <v>0</v>
      </c>
      <c r="M170" t="n">
        <v>0</v>
      </c>
      <c r="N170" t="n">
        <v>0</v>
      </c>
      <c r="O170" t="n">
        <v>0</v>
      </c>
      <c r="P170" t="n">
        <v>0</v>
      </c>
      <c r="Q170" t="n">
        <v>0</v>
      </c>
      <c r="R170" t="n">
        <v>0</v>
      </c>
      <c r="S170" t="n">
        <v>0</v>
      </c>
      <c r="T170" t="n">
        <v>0</v>
      </c>
      <c r="U170" s="2" t="inlineStr"/>
    </row>
    <row r="171" ht="15" customHeight="1">
      <c r="A171" t="inlineStr">
        <is>
          <t>A 32331-2023</t>
        </is>
      </c>
      <c r="B171" t="inlineStr">
        <is>
          <t>avverkningsanmälan</t>
        </is>
      </c>
      <c r="C171" t="inlineStr">
        <is>
          <t>Föryngringsavverkning</t>
        </is>
      </c>
      <c r="D171" s="1" t="n">
        <v>45120</v>
      </c>
      <c r="E171" s="1" t="n">
        <v>46221</v>
      </c>
      <c r="F171" t="inlineStr">
        <is>
          <t>JÖNKÖPINGS LÄN</t>
        </is>
      </c>
      <c r="G171" t="inlineStr">
        <is>
          <t>HABO</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65067-2023</t>
        </is>
      </c>
      <c r="B172" t="inlineStr">
        <is>
          <t>avverkningsanmälan</t>
        </is>
      </c>
      <c r="C172" t="inlineStr">
        <is>
          <t>Föryngringsavverkning</t>
        </is>
      </c>
      <c r="D172" s="1" t="n">
        <v>45287</v>
      </c>
      <c r="E172" s="1" t="n">
        <v>46221</v>
      </c>
      <c r="F172" t="inlineStr">
        <is>
          <t>JÖNKÖPINGS LÄN</t>
        </is>
      </c>
      <c r="G172" t="inlineStr">
        <is>
          <t>HABO</t>
        </is>
      </c>
      <c r="I172" t="n">
        <v>2.1</v>
      </c>
      <c r="J172" t="n">
        <v>0</v>
      </c>
      <c r="K172" t="n">
        <v>0</v>
      </c>
      <c r="L172" t="n">
        <v>0</v>
      </c>
      <c r="M172" t="n">
        <v>0</v>
      </c>
      <c r="N172" t="n">
        <v>0</v>
      </c>
      <c r="O172" t="n">
        <v>0</v>
      </c>
      <c r="P172" t="n">
        <v>0</v>
      </c>
      <c r="Q172" t="n">
        <v>0</v>
      </c>
      <c r="R172" t="n">
        <v>0</v>
      </c>
      <c r="S172" t="n">
        <v>0</v>
      </c>
      <c r="T172" t="n">
        <v>0</v>
      </c>
      <c r="U172" s="2" t="inlineStr"/>
    </row>
    <row r="173" ht="15" customHeight="1">
      <c r="A173" t="inlineStr">
        <is>
          <t>A 15517-2023</t>
        </is>
      </c>
      <c r="B173" t="inlineStr">
        <is>
          <t>avverkningsanmälan</t>
        </is>
      </c>
      <c r="C173" t="inlineStr">
        <is>
          <t>Föryngringsavverkning</t>
        </is>
      </c>
      <c r="D173" s="1" t="n">
        <v>45020</v>
      </c>
      <c r="E173" s="1" t="n">
        <v>46221</v>
      </c>
      <c r="F173" t="inlineStr">
        <is>
          <t>JÖNKÖPINGS LÄN</t>
        </is>
      </c>
      <c r="G173" t="inlineStr">
        <is>
          <t>HABO</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14724-2024</t>
        </is>
      </c>
      <c r="B174" t="inlineStr">
        <is>
          <t>avverkningsanmälan</t>
        </is>
      </c>
      <c r="C174" t="inlineStr">
        <is>
          <t>Föryngringsavverkning</t>
        </is>
      </c>
      <c r="D174" s="1" t="n">
        <v>45397</v>
      </c>
      <c r="E174" s="1" t="n">
        <v>46221</v>
      </c>
      <c r="F174" t="inlineStr">
        <is>
          <t>JÖNKÖPINGS LÄN</t>
        </is>
      </c>
      <c r="G174" t="inlineStr">
        <is>
          <t>HABO</t>
        </is>
      </c>
      <c r="I174" t="n">
        <v>1</v>
      </c>
      <c r="J174" t="n">
        <v>0</v>
      </c>
      <c r="K174" t="n">
        <v>0</v>
      </c>
      <c r="L174" t="n">
        <v>0</v>
      </c>
      <c r="M174" t="n">
        <v>0</v>
      </c>
      <c r="N174" t="n">
        <v>0</v>
      </c>
      <c r="O174" t="n">
        <v>0</v>
      </c>
      <c r="P174" t="n">
        <v>0</v>
      </c>
      <c r="Q174" t="n">
        <v>0</v>
      </c>
      <c r="R174" t="n">
        <v>0</v>
      </c>
      <c r="S174" t="n">
        <v>0</v>
      </c>
      <c r="T174" t="n">
        <v>0</v>
      </c>
      <c r="U174" s="2" t="inlineStr"/>
    </row>
    <row r="175" ht="15" customHeight="1">
      <c r="A175" t="inlineStr">
        <is>
          <t>A 2681-2026</t>
        </is>
      </c>
      <c r="B175" t="inlineStr">
        <is>
          <t>avverkningsanmälan</t>
        </is>
      </c>
      <c r="C175" t="inlineStr">
        <is>
          <t>Föryngringsavverkning</t>
        </is>
      </c>
      <c r="D175" s="1" t="n">
        <v>46037</v>
      </c>
      <c r="E175" s="1" t="n">
        <v>46221</v>
      </c>
      <c r="F175" t="inlineStr">
        <is>
          <t>JÖNKÖPINGS LÄN</t>
        </is>
      </c>
      <c r="G175" t="inlineStr">
        <is>
          <t>HABO</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2690-2026</t>
        </is>
      </c>
      <c r="B176" t="inlineStr">
        <is>
          <t>avverkningsanmälan</t>
        </is>
      </c>
      <c r="C176" t="inlineStr">
        <is>
          <t>Föryngringsavverkning</t>
        </is>
      </c>
      <c r="D176" s="1" t="n">
        <v>46037</v>
      </c>
      <c r="E176" s="1" t="n">
        <v>46221</v>
      </c>
      <c r="F176" t="inlineStr">
        <is>
          <t>JÖNKÖPINGS LÄN</t>
        </is>
      </c>
      <c r="G176" t="inlineStr">
        <is>
          <t>HABO</t>
        </is>
      </c>
      <c r="I176" t="n">
        <v>0.3</v>
      </c>
      <c r="J176" t="n">
        <v>0</v>
      </c>
      <c r="K176" t="n">
        <v>0</v>
      </c>
      <c r="L176" t="n">
        <v>0</v>
      </c>
      <c r="M176" t="n">
        <v>0</v>
      </c>
      <c r="N176" t="n">
        <v>0</v>
      </c>
      <c r="O176" t="n">
        <v>0</v>
      </c>
      <c r="P176" t="n">
        <v>0</v>
      </c>
      <c r="Q176" t="n">
        <v>0</v>
      </c>
      <c r="R176" t="n">
        <v>0</v>
      </c>
      <c r="S176" t="n">
        <v>0</v>
      </c>
      <c r="T176" t="n">
        <v>0</v>
      </c>
      <c r="U176" s="2" t="inlineStr"/>
    </row>
    <row r="177" ht="15" customHeight="1">
      <c r="A177" t="inlineStr">
        <is>
          <t>A 2693-2026</t>
        </is>
      </c>
      <c r="B177" t="inlineStr">
        <is>
          <t>avverkningsanmälan</t>
        </is>
      </c>
      <c r="C177" t="inlineStr">
        <is>
          <t>Föryngringsavverkning</t>
        </is>
      </c>
      <c r="D177" s="1" t="n">
        <v>46037</v>
      </c>
      <c r="E177" s="1" t="n">
        <v>46221</v>
      </c>
      <c r="F177" t="inlineStr">
        <is>
          <t>JÖNKÖPINGS LÄN</t>
        </is>
      </c>
      <c r="G177" t="inlineStr">
        <is>
          <t>HABO</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3710-2023</t>
        </is>
      </c>
      <c r="B178" t="inlineStr">
        <is>
          <t>avverkningsanmälan</t>
        </is>
      </c>
      <c r="C178" t="inlineStr">
        <is>
          <t>Föryngringsavverkning</t>
        </is>
      </c>
      <c r="D178" s="1" t="n">
        <v>44951</v>
      </c>
      <c r="E178" s="1" t="n">
        <v>46221</v>
      </c>
      <c r="F178" t="inlineStr">
        <is>
          <t>JÖNKÖPINGS LÄN</t>
        </is>
      </c>
      <c r="G178" t="inlineStr">
        <is>
          <t>HABO</t>
        </is>
      </c>
      <c r="I178" t="n">
        <v>1.7</v>
      </c>
      <c r="J178" t="n">
        <v>0</v>
      </c>
      <c r="K178" t="n">
        <v>0</v>
      </c>
      <c r="L178" t="n">
        <v>0</v>
      </c>
      <c r="M178" t="n">
        <v>0</v>
      </c>
      <c r="N178" t="n">
        <v>0</v>
      </c>
      <c r="O178" t="n">
        <v>0</v>
      </c>
      <c r="P178" t="n">
        <v>0</v>
      </c>
      <c r="Q178" t="n">
        <v>0</v>
      </c>
      <c r="R178" t="n">
        <v>0</v>
      </c>
      <c r="S178" t="n">
        <v>0</v>
      </c>
      <c r="T178" t="n">
        <v>0</v>
      </c>
      <c r="U178" s="2" t="inlineStr"/>
    </row>
    <row r="179" ht="15" customHeight="1">
      <c r="A179" t="inlineStr">
        <is>
          <t>A 16509-2023</t>
        </is>
      </c>
      <c r="B179" t="inlineStr">
        <is>
          <t>avverkningsanmälan</t>
        </is>
      </c>
      <c r="C179" t="inlineStr">
        <is>
          <t>Föryngringsavverkning</t>
        </is>
      </c>
      <c r="D179" s="1" t="n">
        <v>45029</v>
      </c>
      <c r="E179" s="1" t="n">
        <v>46221</v>
      </c>
      <c r="F179" t="inlineStr">
        <is>
          <t>JÖNKÖPINGS LÄN</t>
        </is>
      </c>
      <c r="G179" t="inlineStr">
        <is>
          <t>HABO</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17845-2024</t>
        </is>
      </c>
      <c r="B180" t="inlineStr">
        <is>
          <t>avverkningsanmälan</t>
        </is>
      </c>
      <c r="C180" t="inlineStr">
        <is>
          <t>Föryngringsavverkning</t>
        </is>
      </c>
      <c r="D180" s="1" t="n">
        <v>45419</v>
      </c>
      <c r="E180" s="1" t="n">
        <v>46221</v>
      </c>
      <c r="F180" t="inlineStr">
        <is>
          <t>JÖNKÖPINGS LÄN</t>
        </is>
      </c>
      <c r="G180" t="inlineStr">
        <is>
          <t>HABO</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36036-2023</t>
        </is>
      </c>
      <c r="B181" t="inlineStr">
        <is>
          <t>avverkningsanmälan</t>
        </is>
      </c>
      <c r="C181" t="inlineStr">
        <is>
          <t>Föryngringsavverkning</t>
        </is>
      </c>
      <c r="D181" s="1" t="n">
        <v>45149</v>
      </c>
      <c r="E181" s="1" t="n">
        <v>46221</v>
      </c>
      <c r="F181" t="inlineStr">
        <is>
          <t>JÖNKÖPINGS LÄN</t>
        </is>
      </c>
      <c r="G181" t="inlineStr">
        <is>
          <t>HABO</t>
        </is>
      </c>
      <c r="I181" t="n">
        <v>1.5</v>
      </c>
      <c r="J181" t="n">
        <v>0</v>
      </c>
      <c r="K181" t="n">
        <v>0</v>
      </c>
      <c r="L181" t="n">
        <v>0</v>
      </c>
      <c r="M181" t="n">
        <v>0</v>
      </c>
      <c r="N181" t="n">
        <v>0</v>
      </c>
      <c r="O181" t="n">
        <v>0</v>
      </c>
      <c r="P181" t="n">
        <v>0</v>
      </c>
      <c r="Q181" t="n">
        <v>0</v>
      </c>
      <c r="R181" t="n">
        <v>0</v>
      </c>
      <c r="S181" t="n">
        <v>0</v>
      </c>
      <c r="T181" t="n">
        <v>0</v>
      </c>
      <c r="U181" s="2" t="inlineStr"/>
    </row>
    <row r="182" ht="15" customHeight="1">
      <c r="A182" t="inlineStr">
        <is>
          <t>A 31909-2024</t>
        </is>
      </c>
      <c r="B182" t="inlineStr">
        <is>
          <t>avverkningsanmälan</t>
        </is>
      </c>
      <c r="C182" t="inlineStr">
        <is>
          <t>Föryngringsavverkning</t>
        </is>
      </c>
      <c r="D182" s="1" t="n">
        <v>45510</v>
      </c>
      <c r="E182" s="1" t="n">
        <v>46221</v>
      </c>
      <c r="F182" t="inlineStr">
        <is>
          <t>JÖNKÖPINGS LÄN</t>
        </is>
      </c>
      <c r="G182" t="inlineStr">
        <is>
          <t>HABO</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27796-2024</t>
        </is>
      </c>
      <c r="B183" t="inlineStr">
        <is>
          <t>avverkningsanmälan</t>
        </is>
      </c>
      <c r="C183" t="inlineStr">
        <is>
          <t>Föryngringsavverkning</t>
        </is>
      </c>
      <c r="D183" s="1" t="n">
        <v>45475</v>
      </c>
      <c r="E183" s="1" t="n">
        <v>46221</v>
      </c>
      <c r="F183" t="inlineStr">
        <is>
          <t>JÖNKÖPINGS LÄN</t>
        </is>
      </c>
      <c r="G183" t="inlineStr">
        <is>
          <t>HABO</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32539-2023</t>
        </is>
      </c>
      <c r="B184" t="inlineStr">
        <is>
          <t>avverkningsanmälan</t>
        </is>
      </c>
      <c r="C184" t="inlineStr">
        <is>
          <t>Föryngringsavverkning</t>
        </is>
      </c>
      <c r="D184" s="1" t="n">
        <v>45121</v>
      </c>
      <c r="E184" s="1" t="n">
        <v>46221</v>
      </c>
      <c r="F184" t="inlineStr">
        <is>
          <t>JÖNKÖPINGS LÄN</t>
        </is>
      </c>
      <c r="G184" t="inlineStr">
        <is>
          <t>HABO</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45275-2024</t>
        </is>
      </c>
      <c r="B185" t="inlineStr">
        <is>
          <t>avverkningsanmälan</t>
        </is>
      </c>
      <c r="C185" t="inlineStr">
        <is>
          <t>Föryngringsavverkning</t>
        </is>
      </c>
      <c r="D185" s="1" t="n">
        <v>45576</v>
      </c>
      <c r="E185" s="1" t="n">
        <v>46221</v>
      </c>
      <c r="F185" t="inlineStr">
        <is>
          <t>JÖNKÖPINGS LÄN</t>
        </is>
      </c>
      <c r="G185" t="inlineStr">
        <is>
          <t>HABO</t>
        </is>
      </c>
      <c r="I185" t="n">
        <v>0.4</v>
      </c>
      <c r="J185" t="n">
        <v>0</v>
      </c>
      <c r="K185" t="n">
        <v>0</v>
      </c>
      <c r="L185" t="n">
        <v>0</v>
      </c>
      <c r="M185" t="n">
        <v>0</v>
      </c>
      <c r="N185" t="n">
        <v>0</v>
      </c>
      <c r="O185" t="n">
        <v>0</v>
      </c>
      <c r="P185" t="n">
        <v>0</v>
      </c>
      <c r="Q185" t="n">
        <v>0</v>
      </c>
      <c r="R185" t="n">
        <v>0</v>
      </c>
      <c r="S185" t="n">
        <v>0</v>
      </c>
      <c r="T185" t="n">
        <v>0</v>
      </c>
      <c r="U185" s="2" t="inlineStr"/>
    </row>
    <row r="186" ht="15" customHeight="1">
      <c r="A186" t="inlineStr">
        <is>
          <t>A 50804-2024</t>
        </is>
      </c>
      <c r="B186" t="inlineStr">
        <is>
          <t>avverkningsanmälan</t>
        </is>
      </c>
      <c r="C186" t="inlineStr">
        <is>
          <t>Föryngringsavverkning</t>
        </is>
      </c>
      <c r="D186" s="1" t="n">
        <v>45602</v>
      </c>
      <c r="E186" s="1" t="n">
        <v>46221</v>
      </c>
      <c r="F186" t="inlineStr">
        <is>
          <t>JÖNKÖPINGS LÄN</t>
        </is>
      </c>
      <c r="G186" t="inlineStr">
        <is>
          <t>HABO</t>
        </is>
      </c>
      <c r="I186" t="n">
        <v>0.4</v>
      </c>
      <c r="J186" t="n">
        <v>0</v>
      </c>
      <c r="K186" t="n">
        <v>0</v>
      </c>
      <c r="L186" t="n">
        <v>0</v>
      </c>
      <c r="M186" t="n">
        <v>0</v>
      </c>
      <c r="N186" t="n">
        <v>0</v>
      </c>
      <c r="O186" t="n">
        <v>0</v>
      </c>
      <c r="P186" t="n">
        <v>0</v>
      </c>
      <c r="Q186" t="n">
        <v>0</v>
      </c>
      <c r="R186" t="n">
        <v>0</v>
      </c>
      <c r="S186" t="n">
        <v>0</v>
      </c>
      <c r="T186" t="n">
        <v>0</v>
      </c>
      <c r="U186" s="2" t="inlineStr"/>
    </row>
    <row r="187" ht="15" customHeight="1">
      <c r="A187" t="inlineStr">
        <is>
          <t>A 15516-2023</t>
        </is>
      </c>
      <c r="B187" t="inlineStr">
        <is>
          <t>avverkningsanmälan</t>
        </is>
      </c>
      <c r="C187" t="inlineStr">
        <is>
          <t>Föryngringsavverkning</t>
        </is>
      </c>
      <c r="D187" s="1" t="n">
        <v>45020</v>
      </c>
      <c r="E187" s="1" t="n">
        <v>46221</v>
      </c>
      <c r="F187" t="inlineStr">
        <is>
          <t>JÖNKÖPINGS LÄN</t>
        </is>
      </c>
      <c r="G187" t="inlineStr">
        <is>
          <t>HABO</t>
        </is>
      </c>
      <c r="I187" t="n">
        <v>1.8</v>
      </c>
      <c r="J187" t="n">
        <v>0</v>
      </c>
      <c r="K187" t="n">
        <v>0</v>
      </c>
      <c r="L187" t="n">
        <v>0</v>
      </c>
      <c r="M187" t="n">
        <v>0</v>
      </c>
      <c r="N187" t="n">
        <v>0</v>
      </c>
      <c r="O187" t="n">
        <v>0</v>
      </c>
      <c r="P187" t="n">
        <v>0</v>
      </c>
      <c r="Q187" t="n">
        <v>0</v>
      </c>
      <c r="R187" t="n">
        <v>0</v>
      </c>
      <c r="S187" t="n">
        <v>0</v>
      </c>
      <c r="T187" t="n">
        <v>0</v>
      </c>
      <c r="U187" s="2" t="inlineStr"/>
    </row>
    <row r="188" ht="15" customHeight="1">
      <c r="A188" t="inlineStr">
        <is>
          <t>A 15518-2023</t>
        </is>
      </c>
      <c r="B188" t="inlineStr">
        <is>
          <t>avverkningsanmälan</t>
        </is>
      </c>
      <c r="C188" t="inlineStr">
        <is>
          <t>Föryngringsavverkning</t>
        </is>
      </c>
      <c r="D188" s="1" t="n">
        <v>45020</v>
      </c>
      <c r="E188" s="1" t="n">
        <v>46221</v>
      </c>
      <c r="F188" t="inlineStr">
        <is>
          <t>JÖNKÖPINGS LÄN</t>
        </is>
      </c>
      <c r="G188" t="inlineStr">
        <is>
          <t>HABO</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28140-2023</t>
        </is>
      </c>
      <c r="B189" t="inlineStr">
        <is>
          <t>avverkningsanmälan</t>
        </is>
      </c>
      <c r="C189" t="inlineStr">
        <is>
          <t>Föryngringsavverkning</t>
        </is>
      </c>
      <c r="D189" s="1" t="n">
        <v>45099</v>
      </c>
      <c r="E189" s="1" t="n">
        <v>46221</v>
      </c>
      <c r="F189" t="inlineStr">
        <is>
          <t>JÖNKÖPINGS LÄN</t>
        </is>
      </c>
      <c r="G189" t="inlineStr">
        <is>
          <t>HABO</t>
        </is>
      </c>
      <c r="I189" t="n">
        <v>3.4</v>
      </c>
      <c r="J189" t="n">
        <v>0</v>
      </c>
      <c r="K189" t="n">
        <v>0</v>
      </c>
      <c r="L189" t="n">
        <v>0</v>
      </c>
      <c r="M189" t="n">
        <v>0</v>
      </c>
      <c r="N189" t="n">
        <v>0</v>
      </c>
      <c r="O189" t="n">
        <v>0</v>
      </c>
      <c r="P189" t="n">
        <v>0</v>
      </c>
      <c r="Q189" t="n">
        <v>0</v>
      </c>
      <c r="R189" t="n">
        <v>0</v>
      </c>
      <c r="S189" t="n">
        <v>0</v>
      </c>
      <c r="T189" t="n">
        <v>0</v>
      </c>
      <c r="U189" s="2" t="inlineStr"/>
    </row>
    <row r="190" ht="15" customHeight="1">
      <c r="A190" t="inlineStr">
        <is>
          <t>A 59433-2024</t>
        </is>
      </c>
      <c r="B190" t="inlineStr">
        <is>
          <t>avverkningsanmälan</t>
        </is>
      </c>
      <c r="C190" t="inlineStr">
        <is>
          <t>Föryngringsavverkning</t>
        </is>
      </c>
      <c r="D190" s="1" t="n">
        <v>45638</v>
      </c>
      <c r="E190" s="1" t="n">
        <v>46221</v>
      </c>
      <c r="F190" t="inlineStr">
        <is>
          <t>JÖNKÖPINGS LÄN</t>
        </is>
      </c>
      <c r="G190" t="inlineStr">
        <is>
          <t>HABO</t>
        </is>
      </c>
      <c r="I190" t="n">
        <v>10.4</v>
      </c>
      <c r="J190" t="n">
        <v>0</v>
      </c>
      <c r="K190" t="n">
        <v>0</v>
      </c>
      <c r="L190" t="n">
        <v>0</v>
      </c>
      <c r="M190" t="n">
        <v>0</v>
      </c>
      <c r="N190" t="n">
        <v>0</v>
      </c>
      <c r="O190" t="n">
        <v>0</v>
      </c>
      <c r="P190" t="n">
        <v>0</v>
      </c>
      <c r="Q190" t="n">
        <v>0</v>
      </c>
      <c r="R190" t="n">
        <v>0</v>
      </c>
      <c r="S190" t="n">
        <v>0</v>
      </c>
      <c r="T190" t="n">
        <v>0</v>
      </c>
      <c r="U190" s="2" t="inlineStr"/>
    </row>
    <row r="191" ht="15" customHeight="1">
      <c r="A191" t="inlineStr">
        <is>
          <t>A 7754-2025</t>
        </is>
      </c>
      <c r="B191" t="inlineStr">
        <is>
          <t>avverkningsanmälan</t>
        </is>
      </c>
      <c r="C191" t="inlineStr">
        <is>
          <t>Föryngringsavverkning</t>
        </is>
      </c>
      <c r="D191" s="1" t="n">
        <v>45706</v>
      </c>
      <c r="E191" s="1" t="n">
        <v>46221</v>
      </c>
      <c r="F191" t="inlineStr">
        <is>
          <t>JÖNKÖPINGS LÄN</t>
        </is>
      </c>
      <c r="G191" t="inlineStr">
        <is>
          <t>HABO</t>
        </is>
      </c>
      <c r="I191" t="n">
        <v>3.7</v>
      </c>
      <c r="J191" t="n">
        <v>0</v>
      </c>
      <c r="K191" t="n">
        <v>0</v>
      </c>
      <c r="L191" t="n">
        <v>0</v>
      </c>
      <c r="M191" t="n">
        <v>0</v>
      </c>
      <c r="N191" t="n">
        <v>0</v>
      </c>
      <c r="O191" t="n">
        <v>0</v>
      </c>
      <c r="P191" t="n">
        <v>0</v>
      </c>
      <c r="Q191" t="n">
        <v>0</v>
      </c>
      <c r="R191" t="n">
        <v>0</v>
      </c>
      <c r="S191" t="n">
        <v>0</v>
      </c>
      <c r="T191" t="n">
        <v>0</v>
      </c>
      <c r="U191" s="2" t="inlineStr"/>
    </row>
    <row r="192" ht="15" customHeight="1">
      <c r="A192" t="inlineStr">
        <is>
          <t>A 55369-2024</t>
        </is>
      </c>
      <c r="B192" t="inlineStr">
        <is>
          <t>avverkningsanmälan</t>
        </is>
      </c>
      <c r="C192" t="inlineStr">
        <is>
          <t>Föryngringsavverkning</t>
        </is>
      </c>
      <c r="D192" s="1" t="n">
        <v>45621</v>
      </c>
      <c r="E192" s="1" t="n">
        <v>46221</v>
      </c>
      <c r="F192" t="inlineStr">
        <is>
          <t>JÖNKÖPINGS LÄN</t>
        </is>
      </c>
      <c r="G192" t="inlineStr">
        <is>
          <t>HABO</t>
        </is>
      </c>
      <c r="I192" t="n">
        <v>4.5</v>
      </c>
      <c r="J192" t="n">
        <v>0</v>
      </c>
      <c r="K192" t="n">
        <v>0</v>
      </c>
      <c r="L192" t="n">
        <v>0</v>
      </c>
      <c r="M192" t="n">
        <v>0</v>
      </c>
      <c r="N192" t="n">
        <v>0</v>
      </c>
      <c r="O192" t="n">
        <v>0</v>
      </c>
      <c r="P192" t="n">
        <v>0</v>
      </c>
      <c r="Q192" t="n">
        <v>0</v>
      </c>
      <c r="R192" t="n">
        <v>0</v>
      </c>
      <c r="S192" t="n">
        <v>0</v>
      </c>
      <c r="T192" t="n">
        <v>0</v>
      </c>
      <c r="U192" s="2" t="inlineStr"/>
    </row>
    <row r="193" ht="15" customHeight="1">
      <c r="A193" t="inlineStr">
        <is>
          <t>A 55370-2024</t>
        </is>
      </c>
      <c r="B193" t="inlineStr">
        <is>
          <t>avverkningsanmälan</t>
        </is>
      </c>
      <c r="C193" t="inlineStr">
        <is>
          <t>Föryngringsavverkning</t>
        </is>
      </c>
      <c r="D193" s="1" t="n">
        <v>45621</v>
      </c>
      <c r="E193" s="1" t="n">
        <v>46221</v>
      </c>
      <c r="F193" t="inlineStr">
        <is>
          <t>JÖNKÖPINGS LÄN</t>
        </is>
      </c>
      <c r="G193" t="inlineStr">
        <is>
          <t>HABO</t>
        </is>
      </c>
      <c r="I193" t="n">
        <v>11.5</v>
      </c>
      <c r="J193" t="n">
        <v>0</v>
      </c>
      <c r="K193" t="n">
        <v>0</v>
      </c>
      <c r="L193" t="n">
        <v>0</v>
      </c>
      <c r="M193" t="n">
        <v>0</v>
      </c>
      <c r="N193" t="n">
        <v>0</v>
      </c>
      <c r="O193" t="n">
        <v>0</v>
      </c>
      <c r="P193" t="n">
        <v>0</v>
      </c>
      <c r="Q193" t="n">
        <v>0</v>
      </c>
      <c r="R193" t="n">
        <v>0</v>
      </c>
      <c r="S193" t="n">
        <v>0</v>
      </c>
      <c r="T193" t="n">
        <v>0</v>
      </c>
      <c r="U193" s="2" t="inlineStr"/>
    </row>
    <row r="194" ht="15" customHeight="1">
      <c r="A194" t="inlineStr">
        <is>
          <t>A 55376-2024</t>
        </is>
      </c>
      <c r="B194" t="inlineStr">
        <is>
          <t>avverkningsanmälan</t>
        </is>
      </c>
      <c r="C194" t="inlineStr">
        <is>
          <t>Föryngringsavverkning</t>
        </is>
      </c>
      <c r="D194" s="1" t="n">
        <v>45621</v>
      </c>
      <c r="E194" s="1" t="n">
        <v>46221</v>
      </c>
      <c r="F194" t="inlineStr">
        <is>
          <t>JÖNKÖPINGS LÄN</t>
        </is>
      </c>
      <c r="G194" t="inlineStr">
        <is>
          <t>HABO</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19370-2024</t>
        </is>
      </c>
      <c r="B195" t="inlineStr">
        <is>
          <t>avverkningsanmälan</t>
        </is>
      </c>
      <c r="C195" t="inlineStr">
        <is>
          <t>Föryngringsavverkning</t>
        </is>
      </c>
      <c r="D195" s="1" t="n">
        <v>45429</v>
      </c>
      <c r="E195" s="1" t="n">
        <v>46221</v>
      </c>
      <c r="F195" t="inlineStr">
        <is>
          <t>JÖNKÖPINGS LÄN</t>
        </is>
      </c>
      <c r="G195" t="inlineStr">
        <is>
          <t>HABO</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46062-2024</t>
        </is>
      </c>
      <c r="B196" t="inlineStr">
        <is>
          <t>avverkningsanmälan</t>
        </is>
      </c>
      <c r="C196" t="inlineStr">
        <is>
          <t>Föryngringsavverkning</t>
        </is>
      </c>
      <c r="D196" s="1" t="n">
        <v>45580</v>
      </c>
      <c r="E196" s="1" t="n">
        <v>46221</v>
      </c>
      <c r="F196" t="inlineStr">
        <is>
          <t>JÖNKÖPINGS LÄN</t>
        </is>
      </c>
      <c r="G196" t="inlineStr">
        <is>
          <t>HABO</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32235-2023</t>
        </is>
      </c>
      <c r="B197" t="inlineStr">
        <is>
          <t>avverkningsanmälan</t>
        </is>
      </c>
      <c r="C197" t="inlineStr">
        <is>
          <t>Föryngringsavverkning</t>
        </is>
      </c>
      <c r="D197" s="1" t="n">
        <v>45119</v>
      </c>
      <c r="E197" s="1" t="n">
        <v>46221</v>
      </c>
      <c r="F197" t="inlineStr">
        <is>
          <t>JÖNKÖPINGS LÄN</t>
        </is>
      </c>
      <c r="G197" t="inlineStr">
        <is>
          <t>HABO</t>
        </is>
      </c>
      <c r="I197" t="n">
        <v>7.1</v>
      </c>
      <c r="J197" t="n">
        <v>0</v>
      </c>
      <c r="K197" t="n">
        <v>0</v>
      </c>
      <c r="L197" t="n">
        <v>0</v>
      </c>
      <c r="M197" t="n">
        <v>0</v>
      </c>
      <c r="N197" t="n">
        <v>0</v>
      </c>
      <c r="O197" t="n">
        <v>0</v>
      </c>
      <c r="P197" t="n">
        <v>0</v>
      </c>
      <c r="Q197" t="n">
        <v>0</v>
      </c>
      <c r="R197" t="n">
        <v>0</v>
      </c>
      <c r="S197" t="n">
        <v>0</v>
      </c>
      <c r="T197" t="n">
        <v>0</v>
      </c>
      <c r="U197" s="2" t="inlineStr"/>
    </row>
    <row r="198" ht="15" customHeight="1">
      <c r="A198" t="inlineStr">
        <is>
          <t>A 32236-2023</t>
        </is>
      </c>
      <c r="B198" t="inlineStr">
        <is>
          <t>avverkningsanmälan</t>
        </is>
      </c>
      <c r="C198" t="inlineStr">
        <is>
          <t>Föryngringsavverkning</t>
        </is>
      </c>
      <c r="D198" s="1" t="n">
        <v>45119</v>
      </c>
      <c r="E198" s="1" t="n">
        <v>46221</v>
      </c>
      <c r="F198" t="inlineStr">
        <is>
          <t>JÖNKÖPINGS LÄN</t>
        </is>
      </c>
      <c r="G198" t="inlineStr">
        <is>
          <t>HABO</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8849-2024</t>
        </is>
      </c>
      <c r="B199" t="inlineStr">
        <is>
          <t>avverkningsanmälan</t>
        </is>
      </c>
      <c r="C199" t="inlineStr">
        <is>
          <t>Föryngringsavverkning</t>
        </is>
      </c>
      <c r="D199" s="1" t="n">
        <v>45356</v>
      </c>
      <c r="E199" s="1" t="n">
        <v>46221</v>
      </c>
      <c r="F199" t="inlineStr">
        <is>
          <t>JÖNKÖPINGS LÄN</t>
        </is>
      </c>
      <c r="G199" t="inlineStr">
        <is>
          <t>HABO</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45277-2024</t>
        </is>
      </c>
      <c r="B200" t="inlineStr">
        <is>
          <t>avverkningsanmälan</t>
        </is>
      </c>
      <c r="C200" t="inlineStr">
        <is>
          <t>Föryngringsavverkning</t>
        </is>
      </c>
      <c r="D200" s="1" t="n">
        <v>45576</v>
      </c>
      <c r="E200" s="1" t="n">
        <v>46221</v>
      </c>
      <c r="F200" t="inlineStr">
        <is>
          <t>JÖNKÖPINGS LÄN</t>
        </is>
      </c>
      <c r="G200" t="inlineStr">
        <is>
          <t>HABO</t>
        </is>
      </c>
      <c r="I200" t="n">
        <v>0.5</v>
      </c>
      <c r="J200" t="n">
        <v>0</v>
      </c>
      <c r="K200" t="n">
        <v>0</v>
      </c>
      <c r="L200" t="n">
        <v>0</v>
      </c>
      <c r="M200" t="n">
        <v>0</v>
      </c>
      <c r="N200" t="n">
        <v>0</v>
      </c>
      <c r="O200" t="n">
        <v>0</v>
      </c>
      <c r="P200" t="n">
        <v>0</v>
      </c>
      <c r="Q200" t="n">
        <v>0</v>
      </c>
      <c r="R200" t="n">
        <v>0</v>
      </c>
      <c r="S200" t="n">
        <v>0</v>
      </c>
      <c r="T200" t="n">
        <v>0</v>
      </c>
      <c r="U200" s="2" t="inlineStr"/>
    </row>
    <row r="201" ht="15" customHeight="1">
      <c r="A201" t="inlineStr">
        <is>
          <t>A 19735-2026</t>
        </is>
      </c>
      <c r="B201" t="inlineStr">
        <is>
          <t>avverkningsanmälan</t>
        </is>
      </c>
      <c r="C201" t="inlineStr">
        <is>
          <t>Föryngringsavverkning</t>
        </is>
      </c>
      <c r="D201" s="1" t="n">
        <v>46135</v>
      </c>
      <c r="E201" s="1" t="n">
        <v>46221</v>
      </c>
      <c r="F201" t="inlineStr">
        <is>
          <t>JÖNKÖPINGS LÄN</t>
        </is>
      </c>
      <c r="G201" t="inlineStr">
        <is>
          <t>HABO</t>
        </is>
      </c>
      <c r="I201" t="n">
        <v>0.3</v>
      </c>
      <c r="J201" t="n">
        <v>0</v>
      </c>
      <c r="K201" t="n">
        <v>0</v>
      </c>
      <c r="L201" t="n">
        <v>0</v>
      </c>
      <c r="M201" t="n">
        <v>0</v>
      </c>
      <c r="N201" t="n">
        <v>0</v>
      </c>
      <c r="O201" t="n">
        <v>0</v>
      </c>
      <c r="P201" t="n">
        <v>0</v>
      </c>
      <c r="Q201" t="n">
        <v>0</v>
      </c>
      <c r="R201" t="n">
        <v>0</v>
      </c>
      <c r="S201" t="n">
        <v>0</v>
      </c>
      <c r="T201" t="n">
        <v>0</v>
      </c>
      <c r="U201" s="2" t="inlineStr"/>
    </row>
    <row r="202" ht="15" customHeight="1">
      <c r="A202" t="inlineStr">
        <is>
          <t>A 55373-2024</t>
        </is>
      </c>
      <c r="B202" t="inlineStr">
        <is>
          <t>avverkningsanmälan</t>
        </is>
      </c>
      <c r="C202" t="inlineStr">
        <is>
          <t>Föryngringsavverkning</t>
        </is>
      </c>
      <c r="D202" s="1" t="n">
        <v>45621</v>
      </c>
      <c r="E202" s="1" t="n">
        <v>46221</v>
      </c>
      <c r="F202" t="inlineStr">
        <is>
          <t>JÖNKÖPINGS LÄN</t>
        </is>
      </c>
      <c r="G202" t="inlineStr">
        <is>
          <t>HABO</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30340-2023</t>
        </is>
      </c>
      <c r="B203" t="inlineStr">
        <is>
          <t>avverkningsanmälan</t>
        </is>
      </c>
      <c r="C203" t="inlineStr">
        <is>
          <t>Föryngringsavverkning</t>
        </is>
      </c>
      <c r="D203" s="1" t="n">
        <v>45111</v>
      </c>
      <c r="E203" s="1" t="n">
        <v>46221</v>
      </c>
      <c r="F203" t="inlineStr">
        <is>
          <t>JÖNKÖPINGS LÄN</t>
        </is>
      </c>
      <c r="G203" t="inlineStr">
        <is>
          <t>HABO</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1004-2022</t>
        </is>
      </c>
      <c r="B204" t="inlineStr">
        <is>
          <t>avverkningsanmälan</t>
        </is>
      </c>
      <c r="C204" t="inlineStr">
        <is>
          <t>Föryngringsavverkning</t>
        </is>
      </c>
      <c r="D204" s="1" t="n">
        <v>44571</v>
      </c>
      <c r="E204" s="1" t="n">
        <v>46221</v>
      </c>
      <c r="F204" t="inlineStr">
        <is>
          <t>JÖNKÖPINGS LÄN</t>
        </is>
      </c>
      <c r="G204" t="inlineStr">
        <is>
          <t>HABO</t>
        </is>
      </c>
      <c r="I204" t="n">
        <v>2.3</v>
      </c>
      <c r="J204" t="n">
        <v>0</v>
      </c>
      <c r="K204" t="n">
        <v>0</v>
      </c>
      <c r="L204" t="n">
        <v>0</v>
      </c>
      <c r="M204" t="n">
        <v>0</v>
      </c>
      <c r="N204" t="n">
        <v>0</v>
      </c>
      <c r="O204" t="n">
        <v>0</v>
      </c>
      <c r="P204" t="n">
        <v>0</v>
      </c>
      <c r="Q204" t="n">
        <v>0</v>
      </c>
      <c r="R204" t="n">
        <v>0</v>
      </c>
      <c r="S204" t="n">
        <v>0</v>
      </c>
      <c r="T204" t="n">
        <v>0</v>
      </c>
      <c r="U204" s="2" t="inlineStr"/>
    </row>
    <row r="205" ht="15" customHeight="1">
      <c r="A205" t="inlineStr">
        <is>
          <t>A 23152-2024</t>
        </is>
      </c>
      <c r="B205" t="inlineStr">
        <is>
          <t>avverkningsanmälan</t>
        </is>
      </c>
      <c r="C205" t="inlineStr">
        <is>
          <t>Föryngringsavverkning</t>
        </is>
      </c>
      <c r="D205" s="1" t="n">
        <v>45450</v>
      </c>
      <c r="E205" s="1" t="n">
        <v>46221</v>
      </c>
      <c r="F205" t="inlineStr">
        <is>
          <t>JÖNKÖPINGS LÄN</t>
        </is>
      </c>
      <c r="G205" t="inlineStr">
        <is>
          <t>HABO</t>
        </is>
      </c>
      <c r="I205" t="n">
        <v>3.5</v>
      </c>
      <c r="J205" t="n">
        <v>0</v>
      </c>
      <c r="K205" t="n">
        <v>0</v>
      </c>
      <c r="L205" t="n">
        <v>0</v>
      </c>
      <c r="M205" t="n">
        <v>0</v>
      </c>
      <c r="N205" t="n">
        <v>0</v>
      </c>
      <c r="O205" t="n">
        <v>0</v>
      </c>
      <c r="P205" t="n">
        <v>0</v>
      </c>
      <c r="Q205" t="n">
        <v>0</v>
      </c>
      <c r="R205" t="n">
        <v>0</v>
      </c>
      <c r="S205" t="n">
        <v>0</v>
      </c>
      <c r="T205" t="n">
        <v>0</v>
      </c>
      <c r="U205" s="2" t="inlineStr"/>
    </row>
    <row r="206" ht="15" customHeight="1">
      <c r="A206" t="inlineStr">
        <is>
          <t>A 29408-2023</t>
        </is>
      </c>
      <c r="B206" t="inlineStr">
        <is>
          <t>avverkningsanmälan</t>
        </is>
      </c>
      <c r="C206" t="inlineStr">
        <is>
          <t>Föryngringsavverkning</t>
        </is>
      </c>
      <c r="D206" s="1" t="n">
        <v>45106</v>
      </c>
      <c r="E206" s="1" t="n">
        <v>46221</v>
      </c>
      <c r="F206" t="inlineStr">
        <is>
          <t>JÖNKÖPINGS LÄN</t>
        </is>
      </c>
      <c r="G206" t="inlineStr">
        <is>
          <t>HABO</t>
        </is>
      </c>
      <c r="I206" t="n">
        <v>1.2</v>
      </c>
      <c r="J206" t="n">
        <v>0</v>
      </c>
      <c r="K206" t="n">
        <v>0</v>
      </c>
      <c r="L206" t="n">
        <v>0</v>
      </c>
      <c r="M206" t="n">
        <v>0</v>
      </c>
      <c r="N206" t="n">
        <v>0</v>
      </c>
      <c r="O206" t="n">
        <v>0</v>
      </c>
      <c r="P206" t="n">
        <v>0</v>
      </c>
      <c r="Q206" t="n">
        <v>0</v>
      </c>
      <c r="R206" t="n">
        <v>0</v>
      </c>
      <c r="S206" t="n">
        <v>0</v>
      </c>
      <c r="T206" t="n">
        <v>0</v>
      </c>
      <c r="U206" s="2" t="inlineStr"/>
    </row>
    <row r="207" ht="15" customHeight="1">
      <c r="A207" t="inlineStr">
        <is>
          <t>A 54270-2024</t>
        </is>
      </c>
      <c r="B207" t="inlineStr">
        <is>
          <t>avverkningsanmälan</t>
        </is>
      </c>
      <c r="C207" t="inlineStr">
        <is>
          <t>Föryngringsavverkning</t>
        </is>
      </c>
      <c r="D207" s="1" t="n">
        <v>45616</v>
      </c>
      <c r="E207" s="1" t="n">
        <v>46221</v>
      </c>
      <c r="F207" t="inlineStr">
        <is>
          <t>JÖNKÖPINGS LÄN</t>
        </is>
      </c>
      <c r="G207" t="inlineStr">
        <is>
          <t>HABO</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54288-2024</t>
        </is>
      </c>
      <c r="B208" t="inlineStr">
        <is>
          <t>avverkningsanmälan</t>
        </is>
      </c>
      <c r="C208" t="inlineStr">
        <is>
          <t>Föryngringsavverkning</t>
        </is>
      </c>
      <c r="D208" s="1" t="n">
        <v>45617</v>
      </c>
      <c r="E208" s="1" t="n">
        <v>46221</v>
      </c>
      <c r="F208" t="inlineStr">
        <is>
          <t>JÖNKÖPINGS LÄN</t>
        </is>
      </c>
      <c r="G208" t="inlineStr">
        <is>
          <t>HABO</t>
        </is>
      </c>
      <c r="I208" t="n">
        <v>1.8</v>
      </c>
      <c r="J208" t="n">
        <v>0</v>
      </c>
      <c r="K208" t="n">
        <v>0</v>
      </c>
      <c r="L208" t="n">
        <v>0</v>
      </c>
      <c r="M208" t="n">
        <v>0</v>
      </c>
      <c r="N208" t="n">
        <v>0</v>
      </c>
      <c r="O208" t="n">
        <v>0</v>
      </c>
      <c r="P208" t="n">
        <v>0</v>
      </c>
      <c r="Q208" t="n">
        <v>0</v>
      </c>
      <c r="R208" t="n">
        <v>0</v>
      </c>
      <c r="S208" t="n">
        <v>0</v>
      </c>
      <c r="T208" t="n">
        <v>0</v>
      </c>
      <c r="U208" s="2" t="inlineStr"/>
    </row>
    <row r="209" ht="15" customHeight="1">
      <c r="A209" t="inlineStr">
        <is>
          <t>A 59440-2024</t>
        </is>
      </c>
      <c r="B209" t="inlineStr">
        <is>
          <t>avverkningsanmälan</t>
        </is>
      </c>
      <c r="C209" t="inlineStr">
        <is>
          <t>Föryngringsavverkning</t>
        </is>
      </c>
      <c r="D209" s="1" t="n">
        <v>45638</v>
      </c>
      <c r="E209" s="1" t="n">
        <v>46221</v>
      </c>
      <c r="F209" t="inlineStr">
        <is>
          <t>JÖNKÖPINGS LÄN</t>
        </is>
      </c>
      <c r="G209" t="inlineStr">
        <is>
          <t>HABO</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32545-2022</t>
        </is>
      </c>
      <c r="B210" t="inlineStr">
        <is>
          <t>avverkningsanmälan</t>
        </is>
      </c>
      <c r="C210" t="inlineStr">
        <is>
          <t>Föryngringsavverkning</t>
        </is>
      </c>
      <c r="D210" s="1" t="n">
        <v>44783</v>
      </c>
      <c r="E210" s="1" t="n">
        <v>46221</v>
      </c>
      <c r="F210" t="inlineStr">
        <is>
          <t>JÖNKÖPINGS LÄN</t>
        </is>
      </c>
      <c r="G210" t="inlineStr">
        <is>
          <t>HABO</t>
        </is>
      </c>
      <c r="H210" t="inlineStr">
        <is>
          <t>Sveaskog</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49846-2024</t>
        </is>
      </c>
      <c r="B211" t="inlineStr">
        <is>
          <t>avverkningsanmälan</t>
        </is>
      </c>
      <c r="C211" t="inlineStr">
        <is>
          <t>Föryngringsavverkning</t>
        </is>
      </c>
      <c r="D211" s="1" t="n">
        <v>45597</v>
      </c>
      <c r="E211" s="1" t="n">
        <v>46221</v>
      </c>
      <c r="F211" t="inlineStr">
        <is>
          <t>JÖNKÖPINGS LÄN</t>
        </is>
      </c>
      <c r="G211" t="inlineStr">
        <is>
          <t>HABO</t>
        </is>
      </c>
      <c r="H211" t="inlineStr">
        <is>
          <t>Sveaskog</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6226-2025</t>
        </is>
      </c>
      <c r="B212" t="inlineStr">
        <is>
          <t>avverkningsanmälan</t>
        </is>
      </c>
      <c r="C212" t="inlineStr">
        <is>
          <t>Föryngringsavverkning</t>
        </is>
      </c>
      <c r="D212" s="1" t="n">
        <v>45698</v>
      </c>
      <c r="E212" s="1" t="n">
        <v>46221</v>
      </c>
      <c r="F212" t="inlineStr">
        <is>
          <t>JÖNKÖPINGS LÄN</t>
        </is>
      </c>
      <c r="G212" t="inlineStr">
        <is>
          <t>HABO</t>
        </is>
      </c>
      <c r="I212" t="n">
        <v>6</v>
      </c>
      <c r="J212" t="n">
        <v>0</v>
      </c>
      <c r="K212" t="n">
        <v>0</v>
      </c>
      <c r="L212" t="n">
        <v>0</v>
      </c>
      <c r="M212" t="n">
        <v>0</v>
      </c>
      <c r="N212" t="n">
        <v>0</v>
      </c>
      <c r="O212" t="n">
        <v>0</v>
      </c>
      <c r="P212" t="n">
        <v>0</v>
      </c>
      <c r="Q212" t="n">
        <v>0</v>
      </c>
      <c r="R212" t="n">
        <v>0</v>
      </c>
      <c r="S212" t="n">
        <v>0</v>
      </c>
      <c r="T212" t="n">
        <v>0</v>
      </c>
      <c r="U212" s="2" t="inlineStr"/>
    </row>
    <row r="213" ht="15" customHeight="1">
      <c r="A213" t="inlineStr">
        <is>
          <t>A 28780-2025</t>
        </is>
      </c>
      <c r="B213" t="inlineStr">
        <is>
          <t>avverkningsanmälan</t>
        </is>
      </c>
      <c r="C213" t="inlineStr">
        <is>
          <t>Föryngringsavverkning</t>
        </is>
      </c>
      <c r="D213" s="1" t="n">
        <v>45820</v>
      </c>
      <c r="E213" s="1" t="n">
        <v>46221</v>
      </c>
      <c r="F213" t="inlineStr">
        <is>
          <t>JÖNKÖPINGS LÄN</t>
        </is>
      </c>
      <c r="G213" t="inlineStr">
        <is>
          <t>HABO</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28135-2023</t>
        </is>
      </c>
      <c r="B214" t="inlineStr">
        <is>
          <t>avverkningsanmälan</t>
        </is>
      </c>
      <c r="C214" t="inlineStr">
        <is>
          <t>Föryngringsavverkning</t>
        </is>
      </c>
      <c r="D214" s="1" t="n">
        <v>45099</v>
      </c>
      <c r="E214" s="1" t="n">
        <v>46221</v>
      </c>
      <c r="F214" t="inlineStr">
        <is>
          <t>JÖNKÖPINGS LÄN</t>
        </is>
      </c>
      <c r="G214" t="inlineStr">
        <is>
          <t>HABO</t>
        </is>
      </c>
      <c r="I214" t="n">
        <v>2.4</v>
      </c>
      <c r="J214" t="n">
        <v>0</v>
      </c>
      <c r="K214" t="n">
        <v>0</v>
      </c>
      <c r="L214" t="n">
        <v>0</v>
      </c>
      <c r="M214" t="n">
        <v>0</v>
      </c>
      <c r="N214" t="n">
        <v>0</v>
      </c>
      <c r="O214" t="n">
        <v>0</v>
      </c>
      <c r="P214" t="n">
        <v>0</v>
      </c>
      <c r="Q214" t="n">
        <v>0</v>
      </c>
      <c r="R214" t="n">
        <v>0</v>
      </c>
      <c r="S214" t="n">
        <v>0</v>
      </c>
      <c r="T214" t="n">
        <v>0</v>
      </c>
      <c r="U214" s="2" t="inlineStr"/>
    </row>
    <row r="215" ht="15" customHeight="1">
      <c r="A215" t="inlineStr">
        <is>
          <t>A 4551-2025</t>
        </is>
      </c>
      <c r="B215" t="inlineStr">
        <is>
          <t>avverkningsanmälan</t>
        </is>
      </c>
      <c r="C215" t="inlineStr">
        <is>
          <t>Föryngringsavverkning</t>
        </is>
      </c>
      <c r="D215" s="1" t="n">
        <v>45687</v>
      </c>
      <c r="E215" s="1" t="n">
        <v>46221</v>
      </c>
      <c r="F215" t="inlineStr">
        <is>
          <t>JÖNKÖPINGS LÄN</t>
        </is>
      </c>
      <c r="G215" t="inlineStr">
        <is>
          <t>HABO</t>
        </is>
      </c>
      <c r="I215" t="n">
        <v>0.4</v>
      </c>
      <c r="J215" t="n">
        <v>0</v>
      </c>
      <c r="K215" t="n">
        <v>0</v>
      </c>
      <c r="L215" t="n">
        <v>0</v>
      </c>
      <c r="M215" t="n">
        <v>0</v>
      </c>
      <c r="N215" t="n">
        <v>0</v>
      </c>
      <c r="O215" t="n">
        <v>0</v>
      </c>
      <c r="P215" t="n">
        <v>0</v>
      </c>
      <c r="Q215" t="n">
        <v>0</v>
      </c>
      <c r="R215" t="n">
        <v>0</v>
      </c>
      <c r="S215" t="n">
        <v>0</v>
      </c>
      <c r="T215" t="n">
        <v>0</v>
      </c>
      <c r="U215" s="2" t="inlineStr"/>
    </row>
    <row r="216" ht="15" customHeight="1">
      <c r="A216" t="inlineStr">
        <is>
          <t>A 51444-2023</t>
        </is>
      </c>
      <c r="B216" t="inlineStr">
        <is>
          <t>avverkningsanmälan</t>
        </is>
      </c>
      <c r="C216" t="inlineStr">
        <is>
          <t>Föryngringsavverkning</t>
        </is>
      </c>
      <c r="D216" s="1" t="n">
        <v>45220</v>
      </c>
      <c r="E216" s="1" t="n">
        <v>46221</v>
      </c>
      <c r="F216" t="inlineStr">
        <is>
          <t>JÖNKÖPINGS LÄN</t>
        </is>
      </c>
      <c r="G216" t="inlineStr">
        <is>
          <t>HABO</t>
        </is>
      </c>
      <c r="I216" t="n">
        <v>2.5</v>
      </c>
      <c r="J216" t="n">
        <v>0</v>
      </c>
      <c r="K216" t="n">
        <v>0</v>
      </c>
      <c r="L216" t="n">
        <v>0</v>
      </c>
      <c r="M216" t="n">
        <v>0</v>
      </c>
      <c r="N216" t="n">
        <v>0</v>
      </c>
      <c r="O216" t="n">
        <v>0</v>
      </c>
      <c r="P216" t="n">
        <v>0</v>
      </c>
      <c r="Q216" t="n">
        <v>0</v>
      </c>
      <c r="R216" t="n">
        <v>0</v>
      </c>
      <c r="S216" t="n">
        <v>0</v>
      </c>
      <c r="T216" t="n">
        <v>0</v>
      </c>
      <c r="U216" s="2" t="inlineStr"/>
    </row>
    <row r="217" ht="15" customHeight="1">
      <c r="A217" t="inlineStr">
        <is>
          <t>A 54987-2024</t>
        </is>
      </c>
      <c r="B217" t="inlineStr">
        <is>
          <t>avverkningsanmälan</t>
        </is>
      </c>
      <c r="C217" t="inlineStr">
        <is>
          <t>Föryngringsavverkning</t>
        </is>
      </c>
      <c r="D217" s="1" t="n">
        <v>45620</v>
      </c>
      <c r="E217" s="1" t="n">
        <v>46221</v>
      </c>
      <c r="F217" t="inlineStr">
        <is>
          <t>JÖNKÖPINGS LÄN</t>
        </is>
      </c>
      <c r="G217" t="inlineStr">
        <is>
          <t>HABO</t>
        </is>
      </c>
      <c r="I217" t="n">
        <v>4.2</v>
      </c>
      <c r="J217" t="n">
        <v>0</v>
      </c>
      <c r="K217" t="n">
        <v>0</v>
      </c>
      <c r="L217" t="n">
        <v>0</v>
      </c>
      <c r="M217" t="n">
        <v>0</v>
      </c>
      <c r="N217" t="n">
        <v>0</v>
      </c>
      <c r="O217" t="n">
        <v>0</v>
      </c>
      <c r="P217" t="n">
        <v>0</v>
      </c>
      <c r="Q217" t="n">
        <v>0</v>
      </c>
      <c r="R217" t="n">
        <v>0</v>
      </c>
      <c r="S217" t="n">
        <v>0</v>
      </c>
      <c r="T217" t="n">
        <v>0</v>
      </c>
      <c r="U217" s="2" t="inlineStr"/>
    </row>
    <row r="218" ht="15" customHeight="1">
      <c r="A218" t="inlineStr">
        <is>
          <t>A 48893-2024</t>
        </is>
      </c>
      <c r="B218" t="inlineStr">
        <is>
          <t>avverkningsanmälan</t>
        </is>
      </c>
      <c r="C218" t="inlineStr">
        <is>
          <t>Föryngringsavverkning</t>
        </is>
      </c>
      <c r="D218" s="1" t="n">
        <v>45594</v>
      </c>
      <c r="E218" s="1" t="n">
        <v>46221</v>
      </c>
      <c r="F218" t="inlineStr">
        <is>
          <t>JÖNKÖPINGS LÄN</t>
        </is>
      </c>
      <c r="G218" t="inlineStr">
        <is>
          <t>HABO</t>
        </is>
      </c>
      <c r="I218" t="n">
        <v>2.8</v>
      </c>
      <c r="J218" t="n">
        <v>0</v>
      </c>
      <c r="K218" t="n">
        <v>0</v>
      </c>
      <c r="L218" t="n">
        <v>0</v>
      </c>
      <c r="M218" t="n">
        <v>0</v>
      </c>
      <c r="N218" t="n">
        <v>0</v>
      </c>
      <c r="O218" t="n">
        <v>0</v>
      </c>
      <c r="P218" t="n">
        <v>0</v>
      </c>
      <c r="Q218" t="n">
        <v>0</v>
      </c>
      <c r="R218" t="n">
        <v>0</v>
      </c>
      <c r="S218" t="n">
        <v>0</v>
      </c>
      <c r="T218" t="n">
        <v>0</v>
      </c>
      <c r="U218" s="2" t="inlineStr"/>
    </row>
    <row r="219" ht="15" customHeight="1">
      <c r="A219" t="inlineStr">
        <is>
          <t>A 36481-2023</t>
        </is>
      </c>
      <c r="B219" t="inlineStr">
        <is>
          <t>avverkningsanmälan</t>
        </is>
      </c>
      <c r="C219" t="inlineStr">
        <is>
          <t>Föryngringsavverkning</t>
        </is>
      </c>
      <c r="D219" s="1" t="n">
        <v>45152</v>
      </c>
      <c r="E219" s="1" t="n">
        <v>46221</v>
      </c>
      <c r="F219" t="inlineStr">
        <is>
          <t>JÖNKÖPINGS LÄN</t>
        </is>
      </c>
      <c r="G219" t="inlineStr">
        <is>
          <t>HABO</t>
        </is>
      </c>
      <c r="I219" t="n">
        <v>5.3</v>
      </c>
      <c r="J219" t="n">
        <v>0</v>
      </c>
      <c r="K219" t="n">
        <v>0</v>
      </c>
      <c r="L219" t="n">
        <v>0</v>
      </c>
      <c r="M219" t="n">
        <v>0</v>
      </c>
      <c r="N219" t="n">
        <v>0</v>
      </c>
      <c r="O219" t="n">
        <v>0</v>
      </c>
      <c r="P219" t="n">
        <v>0</v>
      </c>
      <c r="Q219" t="n">
        <v>0</v>
      </c>
      <c r="R219" t="n">
        <v>0</v>
      </c>
      <c r="S219" t="n">
        <v>0</v>
      </c>
      <c r="T219" t="n">
        <v>0</v>
      </c>
      <c r="U219" s="2" t="inlineStr"/>
    </row>
    <row r="220" ht="15" customHeight="1">
      <c r="A220" t="inlineStr">
        <is>
          <t>A 32329-2023</t>
        </is>
      </c>
      <c r="B220" t="inlineStr">
        <is>
          <t>avverkningsanmälan</t>
        </is>
      </c>
      <c r="C220" t="inlineStr">
        <is>
          <t>Föryngringsavverkning</t>
        </is>
      </c>
      <c r="D220" s="1" t="n">
        <v>45120</v>
      </c>
      <c r="E220" s="1" t="n">
        <v>46221</v>
      </c>
      <c r="F220" t="inlineStr">
        <is>
          <t>JÖNKÖPINGS LÄN</t>
        </is>
      </c>
      <c r="G220" t="inlineStr">
        <is>
          <t>HABO</t>
        </is>
      </c>
      <c r="I220" t="n">
        <v>4.8</v>
      </c>
      <c r="J220" t="n">
        <v>0</v>
      </c>
      <c r="K220" t="n">
        <v>0</v>
      </c>
      <c r="L220" t="n">
        <v>0</v>
      </c>
      <c r="M220" t="n">
        <v>0</v>
      </c>
      <c r="N220" t="n">
        <v>0</v>
      </c>
      <c r="O220" t="n">
        <v>0</v>
      </c>
      <c r="P220" t="n">
        <v>0</v>
      </c>
      <c r="Q220" t="n">
        <v>0</v>
      </c>
      <c r="R220" t="n">
        <v>0</v>
      </c>
      <c r="S220" t="n">
        <v>0</v>
      </c>
      <c r="T220" t="n">
        <v>0</v>
      </c>
      <c r="U220" s="2" t="inlineStr"/>
    </row>
    <row r="221" ht="15" customHeight="1">
      <c r="A221" t="inlineStr">
        <is>
          <t>A 32252-2023</t>
        </is>
      </c>
      <c r="B221" t="inlineStr">
        <is>
          <t>avverkningsanmälan</t>
        </is>
      </c>
      <c r="C221" t="inlineStr">
        <is>
          <t>Föryngringsavverkning</t>
        </is>
      </c>
      <c r="D221" s="1" t="n">
        <v>45120</v>
      </c>
      <c r="E221" s="1" t="n">
        <v>46221</v>
      </c>
      <c r="F221" t="inlineStr">
        <is>
          <t>JÖNKÖPINGS LÄN</t>
        </is>
      </c>
      <c r="G221" t="inlineStr">
        <is>
          <t>HABO</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43160-2023</t>
        </is>
      </c>
      <c r="B222" t="inlineStr">
        <is>
          <t>avverkningsanmälan</t>
        </is>
      </c>
      <c r="C222" t="inlineStr">
        <is>
          <t>Föryngringsavverkning</t>
        </is>
      </c>
      <c r="D222" s="1" t="n">
        <v>45183</v>
      </c>
      <c r="E222" s="1" t="n">
        <v>46221</v>
      </c>
      <c r="F222" t="inlineStr">
        <is>
          <t>JÖNKÖPINGS LÄN</t>
        </is>
      </c>
      <c r="G222" t="inlineStr">
        <is>
          <t>HABO</t>
        </is>
      </c>
      <c r="I222" t="n">
        <v>3</v>
      </c>
      <c r="J222" t="n">
        <v>0</v>
      </c>
      <c r="K222" t="n">
        <v>0</v>
      </c>
      <c r="L222" t="n">
        <v>0</v>
      </c>
      <c r="M222" t="n">
        <v>0</v>
      </c>
      <c r="N222" t="n">
        <v>0</v>
      </c>
      <c r="O222" t="n">
        <v>0</v>
      </c>
      <c r="P222" t="n">
        <v>0</v>
      </c>
      <c r="Q222" t="n">
        <v>0</v>
      </c>
      <c r="R222" t="n">
        <v>0</v>
      </c>
      <c r="S222" t="n">
        <v>0</v>
      </c>
      <c r="T222" t="n">
        <v>0</v>
      </c>
      <c r="U222" s="2" t="inlineStr"/>
    </row>
    <row r="223" ht="15" customHeight="1">
      <c r="A223" t="inlineStr">
        <is>
          <t>A 44158-2023</t>
        </is>
      </c>
      <c r="B223" t="inlineStr">
        <is>
          <t>avverkningsanmälan</t>
        </is>
      </c>
      <c r="C223" t="inlineStr">
        <is>
          <t>Föryngringsavverkning</t>
        </is>
      </c>
      <c r="D223" s="1" t="n">
        <v>45188</v>
      </c>
      <c r="E223" s="1" t="n">
        <v>46221</v>
      </c>
      <c r="F223" t="inlineStr">
        <is>
          <t>JÖNKÖPINGS LÄN</t>
        </is>
      </c>
      <c r="G223" t="inlineStr">
        <is>
          <t>HABO</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57422-2023</t>
        </is>
      </c>
      <c r="B224" t="inlineStr">
        <is>
          <t>avverkningsanmälan</t>
        </is>
      </c>
      <c r="C224" t="inlineStr">
        <is>
          <t>Föryngringsavverkning</t>
        </is>
      </c>
      <c r="D224" s="1" t="n">
        <v>45246</v>
      </c>
      <c r="E224" s="1" t="n">
        <v>46221</v>
      </c>
      <c r="F224" t="inlineStr">
        <is>
          <t>JÖNKÖPINGS LÄN</t>
        </is>
      </c>
      <c r="G224" t="inlineStr">
        <is>
          <t>HABO</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17941-2025</t>
        </is>
      </c>
      <c r="B225" t="inlineStr">
        <is>
          <t>avverkningsanmälan</t>
        </is>
      </c>
      <c r="C225" t="inlineStr">
        <is>
          <t>Föryngringsavverkning</t>
        </is>
      </c>
      <c r="D225" s="1" t="n">
        <v>45760</v>
      </c>
      <c r="E225" s="1" t="n">
        <v>46221</v>
      </c>
      <c r="F225" t="inlineStr">
        <is>
          <t>JÖNKÖPINGS LÄN</t>
        </is>
      </c>
      <c r="G225" t="inlineStr">
        <is>
          <t>HABO</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35775-2022</t>
        </is>
      </c>
      <c r="B226" t="inlineStr">
        <is>
          <t>avverkningsanmälan</t>
        </is>
      </c>
      <c r="C226" t="inlineStr">
        <is>
          <t>Föryngringsavverkning</t>
        </is>
      </c>
      <c r="D226" s="1" t="n">
        <v>44801</v>
      </c>
      <c r="E226" s="1" t="n">
        <v>46221</v>
      </c>
      <c r="F226" t="inlineStr">
        <is>
          <t>JÖNKÖPINGS LÄN</t>
        </is>
      </c>
      <c r="G226" t="inlineStr">
        <is>
          <t>HABO</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3077-2024</t>
        </is>
      </c>
      <c r="B227" t="inlineStr">
        <is>
          <t>avverkningsanmälan</t>
        </is>
      </c>
      <c r="C227" t="inlineStr">
        <is>
          <t>Föryngringsavverkning</t>
        </is>
      </c>
      <c r="D227" s="1" t="n">
        <v>45316</v>
      </c>
      <c r="E227" s="1" t="n">
        <v>46221</v>
      </c>
      <c r="F227" t="inlineStr">
        <is>
          <t>JÖNKÖPINGS LÄN</t>
        </is>
      </c>
      <c r="G227" t="inlineStr">
        <is>
          <t>HABO</t>
        </is>
      </c>
      <c r="I227" t="n">
        <v>3</v>
      </c>
      <c r="J227" t="n">
        <v>0</v>
      </c>
      <c r="K227" t="n">
        <v>0</v>
      </c>
      <c r="L227" t="n">
        <v>0</v>
      </c>
      <c r="M227" t="n">
        <v>0</v>
      </c>
      <c r="N227" t="n">
        <v>0</v>
      </c>
      <c r="O227" t="n">
        <v>0</v>
      </c>
      <c r="P227" t="n">
        <v>0</v>
      </c>
      <c r="Q227" t="n">
        <v>0</v>
      </c>
      <c r="R227" t="n">
        <v>0</v>
      </c>
      <c r="S227" t="n">
        <v>0</v>
      </c>
      <c r="T227" t="n">
        <v>0</v>
      </c>
      <c r="U227" s="2" t="inlineStr"/>
    </row>
    <row r="228" ht="15" customHeight="1">
      <c r="A228" t="inlineStr">
        <is>
          <t>A 12999-2025</t>
        </is>
      </c>
      <c r="B228" t="inlineStr">
        <is>
          <t>avverkningsanmälan</t>
        </is>
      </c>
      <c r="C228" t="inlineStr">
        <is>
          <t>Föryngringsavverkning</t>
        </is>
      </c>
      <c r="D228" s="1" t="n">
        <v>45734</v>
      </c>
      <c r="E228" s="1" t="n">
        <v>46221</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56289-2023</t>
        </is>
      </c>
      <c r="B229" t="inlineStr">
        <is>
          <t>avverkningsanmälan</t>
        </is>
      </c>
      <c r="C229" t="inlineStr">
        <is>
          <t>Föryngringsavverkning</t>
        </is>
      </c>
      <c r="D229" s="1" t="n">
        <v>45242</v>
      </c>
      <c r="E229" s="1" t="n">
        <v>46221</v>
      </c>
      <c r="F229" t="inlineStr">
        <is>
          <t>JÖNKÖPINGS LÄN</t>
        </is>
      </c>
      <c r="G229" t="inlineStr">
        <is>
          <t>HABO</t>
        </is>
      </c>
      <c r="H229" t="inlineStr">
        <is>
          <t>Kyrkan</t>
        </is>
      </c>
      <c r="I229" t="n">
        <v>2</v>
      </c>
      <c r="J229" t="n">
        <v>0</v>
      </c>
      <c r="K229" t="n">
        <v>0</v>
      </c>
      <c r="L229" t="n">
        <v>0</v>
      </c>
      <c r="M229" t="n">
        <v>0</v>
      </c>
      <c r="N229" t="n">
        <v>0</v>
      </c>
      <c r="O229" t="n">
        <v>0</v>
      </c>
      <c r="P229" t="n">
        <v>0</v>
      </c>
      <c r="Q229" t="n">
        <v>0</v>
      </c>
      <c r="R229" t="n">
        <v>0</v>
      </c>
      <c r="S229" t="n">
        <v>0</v>
      </c>
      <c r="T229" t="n">
        <v>0</v>
      </c>
      <c r="U229" s="2" t="inlineStr"/>
    </row>
    <row r="230" ht="15" customHeight="1">
      <c r="A230" t="inlineStr">
        <is>
          <t>A 27791-2024</t>
        </is>
      </c>
      <c r="B230" t="inlineStr">
        <is>
          <t>avverkningsanmälan</t>
        </is>
      </c>
      <c r="C230" t="inlineStr">
        <is>
          <t>Föryngringsavverkning</t>
        </is>
      </c>
      <c r="D230" s="1" t="n">
        <v>45475</v>
      </c>
      <c r="E230" s="1" t="n">
        <v>46221</v>
      </c>
      <c r="F230" t="inlineStr">
        <is>
          <t>JÖNKÖPINGS LÄN</t>
        </is>
      </c>
      <c r="G230" t="inlineStr">
        <is>
          <t>HABO</t>
        </is>
      </c>
      <c r="I230" t="n">
        <v>5</v>
      </c>
      <c r="J230" t="n">
        <v>0</v>
      </c>
      <c r="K230" t="n">
        <v>0</v>
      </c>
      <c r="L230" t="n">
        <v>0</v>
      </c>
      <c r="M230" t="n">
        <v>0</v>
      </c>
      <c r="N230" t="n">
        <v>0</v>
      </c>
      <c r="O230" t="n">
        <v>0</v>
      </c>
      <c r="P230" t="n">
        <v>0</v>
      </c>
      <c r="Q230" t="n">
        <v>0</v>
      </c>
      <c r="R230" t="n">
        <v>0</v>
      </c>
      <c r="S230" t="n">
        <v>0</v>
      </c>
      <c r="T230" t="n">
        <v>0</v>
      </c>
      <c r="U230" s="2" t="inlineStr"/>
    </row>
    <row r="231" ht="15" customHeight="1">
      <c r="A231" t="inlineStr">
        <is>
          <t>A 27794-2024</t>
        </is>
      </c>
      <c r="B231" t="inlineStr">
        <is>
          <t>avverkningsanmälan</t>
        </is>
      </c>
      <c r="C231" t="inlineStr">
        <is>
          <t>Föryngringsavverkning</t>
        </is>
      </c>
      <c r="D231" s="1" t="n">
        <v>45475</v>
      </c>
      <c r="E231" s="1" t="n">
        <v>46221</v>
      </c>
      <c r="F231" t="inlineStr">
        <is>
          <t>JÖNKÖPINGS LÄN</t>
        </is>
      </c>
      <c r="G231" t="inlineStr">
        <is>
          <t>HABO</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27841-2026</t>
        </is>
      </c>
      <c r="B232" t="inlineStr">
        <is>
          <t>avverkningsanmälan</t>
        </is>
      </c>
      <c r="C232" t="inlineStr">
        <is>
          <t>Föryngringsavverkning</t>
        </is>
      </c>
      <c r="D232" s="1" t="n">
        <v>46191</v>
      </c>
      <c r="E232" s="1" t="n">
        <v>46221</v>
      </c>
      <c r="F232" t="inlineStr">
        <is>
          <t>JÖNKÖPINGS LÄN</t>
        </is>
      </c>
      <c r="G232" t="inlineStr">
        <is>
          <t>HABO</t>
        </is>
      </c>
      <c r="I232" t="n">
        <v>2.7</v>
      </c>
      <c r="J232" t="n">
        <v>0</v>
      </c>
      <c r="K232" t="n">
        <v>0</v>
      </c>
      <c r="L232" t="n">
        <v>0</v>
      </c>
      <c r="M232" t="n">
        <v>0</v>
      </c>
      <c r="N232" t="n">
        <v>0</v>
      </c>
      <c r="O232" t="n">
        <v>0</v>
      </c>
      <c r="P232" t="n">
        <v>0</v>
      </c>
      <c r="Q232" t="n">
        <v>0</v>
      </c>
      <c r="R232" t="n">
        <v>0</v>
      </c>
      <c r="S232" t="n">
        <v>0</v>
      </c>
      <c r="T232" t="n">
        <v>0</v>
      </c>
      <c r="U232" s="2" t="inlineStr"/>
    </row>
    <row r="233" ht="15" customHeight="1">
      <c r="A233" t="inlineStr">
        <is>
          <t>A 27852-2026</t>
        </is>
      </c>
      <c r="B233" t="inlineStr">
        <is>
          <t>avverkningsanmälan</t>
        </is>
      </c>
      <c r="C233" t="inlineStr">
        <is>
          <t>Föryngringsavverkning</t>
        </is>
      </c>
      <c r="D233" s="1" t="n">
        <v>46191</v>
      </c>
      <c r="E233" s="1" t="n">
        <v>46221</v>
      </c>
      <c r="F233" t="inlineStr">
        <is>
          <t>JÖNKÖPINGS LÄN</t>
        </is>
      </c>
      <c r="G233" t="inlineStr">
        <is>
          <t>HABO</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49673-2023</t>
        </is>
      </c>
      <c r="B234" t="inlineStr">
        <is>
          <t>avverkningsanmälan</t>
        </is>
      </c>
      <c r="C234" t="inlineStr">
        <is>
          <t>Föryngringsavverkning</t>
        </is>
      </c>
      <c r="D234" s="1" t="n">
        <v>45212</v>
      </c>
      <c r="E234" s="1" t="n">
        <v>46221</v>
      </c>
      <c r="F234" t="inlineStr">
        <is>
          <t>JÖNKÖPINGS LÄN</t>
        </is>
      </c>
      <c r="G234" t="inlineStr">
        <is>
          <t>HABO</t>
        </is>
      </c>
      <c r="I234" t="n">
        <v>0.4</v>
      </c>
      <c r="J234" t="n">
        <v>0</v>
      </c>
      <c r="K234" t="n">
        <v>0</v>
      </c>
      <c r="L234" t="n">
        <v>0</v>
      </c>
      <c r="M234" t="n">
        <v>0</v>
      </c>
      <c r="N234" t="n">
        <v>0</v>
      </c>
      <c r="O234" t="n">
        <v>0</v>
      </c>
      <c r="P234" t="n">
        <v>0</v>
      </c>
      <c r="Q234" t="n">
        <v>0</v>
      </c>
      <c r="R234" t="n">
        <v>0</v>
      </c>
      <c r="S234" t="n">
        <v>0</v>
      </c>
      <c r="T234" t="n">
        <v>0</v>
      </c>
      <c r="U234" s="2" t="inlineStr"/>
    </row>
    <row r="235" ht="15" customHeight="1">
      <c r="A235" t="inlineStr">
        <is>
          <t>A 27838-2026</t>
        </is>
      </c>
      <c r="B235" t="inlineStr">
        <is>
          <t>avverkningsanmälan</t>
        </is>
      </c>
      <c r="C235" t="inlineStr">
        <is>
          <t>Föryngringsavverkning</t>
        </is>
      </c>
      <c r="D235" s="1" t="n">
        <v>46191</v>
      </c>
      <c r="E235" s="1" t="n">
        <v>46221</v>
      </c>
      <c r="F235" t="inlineStr">
        <is>
          <t>JÖNKÖPINGS LÄN</t>
        </is>
      </c>
      <c r="G235" t="inlineStr">
        <is>
          <t>HABO</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62745-2023</t>
        </is>
      </c>
      <c r="B236" t="inlineStr">
        <is>
          <t>avverkningsanmälan</t>
        </is>
      </c>
      <c r="C236" t="inlineStr">
        <is>
          <t>Föryngringsavverkning</t>
        </is>
      </c>
      <c r="D236" s="1" t="n">
        <v>45271</v>
      </c>
      <c r="E236" s="1" t="n">
        <v>46221</v>
      </c>
      <c r="F236" t="inlineStr">
        <is>
          <t>JÖNKÖPINGS LÄN</t>
        </is>
      </c>
      <c r="G236" t="inlineStr">
        <is>
          <t>HABO</t>
        </is>
      </c>
      <c r="I236" t="n">
        <v>3.8</v>
      </c>
      <c r="J236" t="n">
        <v>0</v>
      </c>
      <c r="K236" t="n">
        <v>0</v>
      </c>
      <c r="L236" t="n">
        <v>0</v>
      </c>
      <c r="M236" t="n">
        <v>0</v>
      </c>
      <c r="N236" t="n">
        <v>0</v>
      </c>
      <c r="O236" t="n">
        <v>0</v>
      </c>
      <c r="P236" t="n">
        <v>0</v>
      </c>
      <c r="Q236" t="n">
        <v>0</v>
      </c>
      <c r="R236" t="n">
        <v>0</v>
      </c>
      <c r="S236" t="n">
        <v>0</v>
      </c>
      <c r="T236" t="n">
        <v>0</v>
      </c>
      <c r="U236" s="2" t="inlineStr"/>
    </row>
    <row r="237" ht="15" customHeight="1">
      <c r="A237" t="inlineStr">
        <is>
          <t>A 27858-2026</t>
        </is>
      </c>
      <c r="B237" t="inlineStr">
        <is>
          <t>avverkningsanmälan</t>
        </is>
      </c>
      <c r="C237" t="inlineStr">
        <is>
          <t>Föryngringsavverkning</t>
        </is>
      </c>
      <c r="D237" s="1" t="n">
        <v>46191</v>
      </c>
      <c r="E237" s="1" t="n">
        <v>46221</v>
      </c>
      <c r="F237" t="inlineStr">
        <is>
          <t>JÖNKÖPINGS LÄN</t>
        </is>
      </c>
      <c r="G237" t="inlineStr">
        <is>
          <t>HABO</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63922-2023</t>
        </is>
      </c>
      <c r="B238" t="inlineStr">
        <is>
          <t>avverkningsanmälan</t>
        </is>
      </c>
      <c r="C238" t="inlineStr">
        <is>
          <t>Föryngringsavverkning</t>
        </is>
      </c>
      <c r="D238" s="1" t="n">
        <v>45278</v>
      </c>
      <c r="E238" s="1" t="n">
        <v>46221</v>
      </c>
      <c r="F238" t="inlineStr">
        <is>
          <t>JÖNKÖPINGS LÄN</t>
        </is>
      </c>
      <c r="G238" t="inlineStr">
        <is>
          <t>HABO</t>
        </is>
      </c>
      <c r="I238" t="n">
        <v>1.4</v>
      </c>
      <c r="J238" t="n">
        <v>0</v>
      </c>
      <c r="K238" t="n">
        <v>0</v>
      </c>
      <c r="L238" t="n">
        <v>0</v>
      </c>
      <c r="M238" t="n">
        <v>0</v>
      </c>
      <c r="N238" t="n">
        <v>0</v>
      </c>
      <c r="O238" t="n">
        <v>0</v>
      </c>
      <c r="P238" t="n">
        <v>0</v>
      </c>
      <c r="Q238" t="n">
        <v>0</v>
      </c>
      <c r="R238" t="n">
        <v>0</v>
      </c>
      <c r="S238" t="n">
        <v>0</v>
      </c>
      <c r="T238" t="n">
        <v>0</v>
      </c>
      <c r="U238" s="2" t="inlineStr"/>
    </row>
    <row r="239" ht="15" customHeight="1">
      <c r="A239" t="inlineStr">
        <is>
          <t>A 57360-2022</t>
        </is>
      </c>
      <c r="B239" t="inlineStr">
        <is>
          <t>avverkningsanmälan</t>
        </is>
      </c>
      <c r="C239" t="inlineStr">
        <is>
          <t>Föryngringsavverkning</t>
        </is>
      </c>
      <c r="D239" s="1" t="n">
        <v>44896</v>
      </c>
      <c r="E239" s="1" t="n">
        <v>46221</v>
      </c>
      <c r="F239" t="inlineStr">
        <is>
          <t>JÖNKÖPINGS LÄN</t>
        </is>
      </c>
      <c r="G239" t="inlineStr">
        <is>
          <t>HABO</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1876-2022</t>
        </is>
      </c>
      <c r="B240" t="inlineStr">
        <is>
          <t>avverkningsanmälan</t>
        </is>
      </c>
      <c r="C240" t="inlineStr">
        <is>
          <t>Föryngringsavverkning</t>
        </is>
      </c>
      <c r="D240" s="1" t="n">
        <v>44575</v>
      </c>
      <c r="E240" s="1" t="n">
        <v>46221</v>
      </c>
      <c r="F240" t="inlineStr">
        <is>
          <t>JÖNKÖPINGS LÄN</t>
        </is>
      </c>
      <c r="G240" t="inlineStr">
        <is>
          <t>HABO</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59928-2022</t>
        </is>
      </c>
      <c r="B241" t="inlineStr">
        <is>
          <t>avverkningsanmälan</t>
        </is>
      </c>
      <c r="C241" t="inlineStr">
        <is>
          <t>Föryngringsavverkning</t>
        </is>
      </c>
      <c r="D241" s="1" t="n">
        <v>44909</v>
      </c>
      <c r="E241" s="1" t="n">
        <v>46221</v>
      </c>
      <c r="F241" t="inlineStr">
        <is>
          <t>JÖNKÖPINGS LÄN</t>
        </is>
      </c>
      <c r="G241" t="inlineStr">
        <is>
          <t>HABO</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46551-2025</t>
        </is>
      </c>
      <c r="B242" t="inlineStr">
        <is>
          <t>avverkningsanmälan</t>
        </is>
      </c>
      <c r="C242" t="inlineStr">
        <is>
          <t>Föryngringsavverkning</t>
        </is>
      </c>
      <c r="D242" s="1" t="n">
        <v>45926</v>
      </c>
      <c r="E242" s="1" t="n">
        <v>46221</v>
      </c>
      <c r="F242" t="inlineStr">
        <is>
          <t>JÖNKÖPINGS LÄN</t>
        </is>
      </c>
      <c r="G242" t="inlineStr">
        <is>
          <t>HABO</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16727-2023</t>
        </is>
      </c>
      <c r="B243" t="inlineStr">
        <is>
          <t>avverkningsanmälan</t>
        </is>
      </c>
      <c r="C243" t="inlineStr">
        <is>
          <t>Föryngringsavverkning</t>
        </is>
      </c>
      <c r="D243" s="1" t="n">
        <v>45030</v>
      </c>
      <c r="E243" s="1" t="n">
        <v>46221</v>
      </c>
      <c r="F243" t="inlineStr">
        <is>
          <t>JÖNKÖPINGS LÄN</t>
        </is>
      </c>
      <c r="G243" t="inlineStr">
        <is>
          <t>HABO</t>
        </is>
      </c>
      <c r="I243" t="n">
        <v>3.2</v>
      </c>
      <c r="J243" t="n">
        <v>0</v>
      </c>
      <c r="K243" t="n">
        <v>0</v>
      </c>
      <c r="L243" t="n">
        <v>0</v>
      </c>
      <c r="M243" t="n">
        <v>0</v>
      </c>
      <c r="N243" t="n">
        <v>0</v>
      </c>
      <c r="O243" t="n">
        <v>0</v>
      </c>
      <c r="P243" t="n">
        <v>0</v>
      </c>
      <c r="Q243" t="n">
        <v>0</v>
      </c>
      <c r="R243" t="n">
        <v>0</v>
      </c>
      <c r="S243" t="n">
        <v>0</v>
      </c>
      <c r="T243" t="n">
        <v>0</v>
      </c>
      <c r="U243" s="2" t="inlineStr"/>
    </row>
    <row r="244" ht="15" customHeight="1">
      <c r="A244" t="inlineStr">
        <is>
          <t>A 35779-2022</t>
        </is>
      </c>
      <c r="B244" t="inlineStr">
        <is>
          <t>avverkningsanmälan</t>
        </is>
      </c>
      <c r="C244" t="inlineStr">
        <is>
          <t>Föryngringsavverkning</t>
        </is>
      </c>
      <c r="D244" s="1" t="n">
        <v>44801</v>
      </c>
      <c r="E244" s="1" t="n">
        <v>46221</v>
      </c>
      <c r="F244" t="inlineStr">
        <is>
          <t>JÖNKÖPINGS LÄN</t>
        </is>
      </c>
      <c r="G244" t="inlineStr">
        <is>
          <t>HABO</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62764-2023</t>
        </is>
      </c>
      <c r="B245" t="inlineStr">
        <is>
          <t>avverkningsanmälan</t>
        </is>
      </c>
      <c r="C245" t="inlineStr">
        <is>
          <t>Föryngringsavverkning</t>
        </is>
      </c>
      <c r="D245" s="1" t="n">
        <v>45271</v>
      </c>
      <c r="E245" s="1" t="n">
        <v>46221</v>
      </c>
      <c r="F245" t="inlineStr">
        <is>
          <t>JÖNKÖPINGS LÄN</t>
        </is>
      </c>
      <c r="G245" t="inlineStr">
        <is>
          <t>HABO</t>
        </is>
      </c>
      <c r="I245" t="n">
        <v>2.5</v>
      </c>
      <c r="J245" t="n">
        <v>0</v>
      </c>
      <c r="K245" t="n">
        <v>0</v>
      </c>
      <c r="L245" t="n">
        <v>0</v>
      </c>
      <c r="M245" t="n">
        <v>0</v>
      </c>
      <c r="N245" t="n">
        <v>0</v>
      </c>
      <c r="O245" t="n">
        <v>0</v>
      </c>
      <c r="P245" t="n">
        <v>0</v>
      </c>
      <c r="Q245" t="n">
        <v>0</v>
      </c>
      <c r="R245" t="n">
        <v>0</v>
      </c>
      <c r="S245" t="n">
        <v>0</v>
      </c>
      <c r="T245" t="n">
        <v>0</v>
      </c>
      <c r="U245" s="2" t="inlineStr"/>
    </row>
    <row r="246" ht="15" customHeight="1">
      <c r="A246" t="inlineStr">
        <is>
          <t>A 28813-2022</t>
        </is>
      </c>
      <c r="B246" t="inlineStr">
        <is>
          <t>avverkningsanmälan</t>
        </is>
      </c>
      <c r="C246" t="inlineStr">
        <is>
          <t>Föryngringsavverkning</t>
        </is>
      </c>
      <c r="D246" s="1" t="n">
        <v>44749</v>
      </c>
      <c r="E246" s="1" t="n">
        <v>46221</v>
      </c>
      <c r="F246" t="inlineStr">
        <is>
          <t>JÖNKÖPINGS LÄN</t>
        </is>
      </c>
      <c r="G246" t="inlineStr">
        <is>
          <t>HABO</t>
        </is>
      </c>
      <c r="I246" t="n">
        <v>4.5</v>
      </c>
      <c r="J246" t="n">
        <v>0</v>
      </c>
      <c r="K246" t="n">
        <v>0</v>
      </c>
      <c r="L246" t="n">
        <v>0</v>
      </c>
      <c r="M246" t="n">
        <v>0</v>
      </c>
      <c r="N246" t="n">
        <v>0</v>
      </c>
      <c r="O246" t="n">
        <v>0</v>
      </c>
      <c r="P246" t="n">
        <v>0</v>
      </c>
      <c r="Q246" t="n">
        <v>0</v>
      </c>
      <c r="R246" t="n">
        <v>0</v>
      </c>
      <c r="S246" t="n">
        <v>0</v>
      </c>
      <c r="T246" t="n">
        <v>0</v>
      </c>
      <c r="U246" s="2" t="inlineStr"/>
    </row>
    <row r="247" ht="15" customHeight="1">
      <c r="A247" t="inlineStr">
        <is>
          <t>A 28816-2022</t>
        </is>
      </c>
      <c r="B247" t="inlineStr">
        <is>
          <t>avverkningsanmälan</t>
        </is>
      </c>
      <c r="C247" t="inlineStr">
        <is>
          <t>Föryngringsavverkning</t>
        </is>
      </c>
      <c r="D247" s="1" t="n">
        <v>44749</v>
      </c>
      <c r="E247" s="1" t="n">
        <v>46221</v>
      </c>
      <c r="F247" t="inlineStr">
        <is>
          <t>JÖNKÖPINGS LÄN</t>
        </is>
      </c>
      <c r="G247" t="inlineStr">
        <is>
          <t>HABO</t>
        </is>
      </c>
      <c r="I247" t="n">
        <v>5.2</v>
      </c>
      <c r="J247" t="n">
        <v>0</v>
      </c>
      <c r="K247" t="n">
        <v>0</v>
      </c>
      <c r="L247" t="n">
        <v>0</v>
      </c>
      <c r="M247" t="n">
        <v>0</v>
      </c>
      <c r="N247" t="n">
        <v>0</v>
      </c>
      <c r="O247" t="n">
        <v>0</v>
      </c>
      <c r="P247" t="n">
        <v>0</v>
      </c>
      <c r="Q247" t="n">
        <v>0</v>
      </c>
      <c r="R247" t="n">
        <v>0</v>
      </c>
      <c r="S247" t="n">
        <v>0</v>
      </c>
      <c r="T247" t="n">
        <v>0</v>
      </c>
      <c r="U247" s="2" t="inlineStr"/>
    </row>
    <row r="248" ht="15" customHeight="1">
      <c r="A248" t="inlineStr">
        <is>
          <t>A 29335-2026</t>
        </is>
      </c>
      <c r="B248" t="inlineStr">
        <is>
          <t>avverkningsanmälan</t>
        </is>
      </c>
      <c r="C248" t="inlineStr">
        <is>
          <t>Föryngringsavverkning</t>
        </is>
      </c>
      <c r="D248" s="1" t="n">
        <v>46202</v>
      </c>
      <c r="E248" s="1" t="n">
        <v>46221</v>
      </c>
      <c r="F248" t="inlineStr">
        <is>
          <t>JÖNKÖPINGS LÄN</t>
        </is>
      </c>
      <c r="G248" t="inlineStr">
        <is>
          <t>HABO</t>
        </is>
      </c>
      <c r="I248" t="n">
        <v>1</v>
      </c>
      <c r="J248" t="n">
        <v>0</v>
      </c>
      <c r="K248" t="n">
        <v>0</v>
      </c>
      <c r="L248" t="n">
        <v>0</v>
      </c>
      <c r="M248" t="n">
        <v>0</v>
      </c>
      <c r="N248" t="n">
        <v>0</v>
      </c>
      <c r="O248" t="n">
        <v>0</v>
      </c>
      <c r="P248" t="n">
        <v>0</v>
      </c>
      <c r="Q248" t="n">
        <v>0</v>
      </c>
      <c r="R248" t="n">
        <v>0</v>
      </c>
      <c r="S248" t="n">
        <v>0</v>
      </c>
      <c r="T248" t="n">
        <v>0</v>
      </c>
      <c r="U248" s="2" t="inlineStr"/>
    </row>
    <row r="249" ht="15" customHeight="1">
      <c r="A249" t="inlineStr">
        <is>
          <t>A 11887-2023</t>
        </is>
      </c>
      <c r="B249" t="inlineStr">
        <is>
          <t>avverkningsanmälan</t>
        </is>
      </c>
      <c r="C249" t="inlineStr">
        <is>
          <t>Föryngringsavverkning</t>
        </is>
      </c>
      <c r="D249" s="1" t="n">
        <v>44995</v>
      </c>
      <c r="E249" s="1" t="n">
        <v>46221</v>
      </c>
      <c r="F249" t="inlineStr">
        <is>
          <t>JÖNKÖPINGS LÄN</t>
        </is>
      </c>
      <c r="G249" t="inlineStr">
        <is>
          <t>HABO</t>
        </is>
      </c>
      <c r="I249" t="n">
        <v>1.3</v>
      </c>
      <c r="J249" t="n">
        <v>0</v>
      </c>
      <c r="K249" t="n">
        <v>0</v>
      </c>
      <c r="L249" t="n">
        <v>0</v>
      </c>
      <c r="M249" t="n">
        <v>0</v>
      </c>
      <c r="N249" t="n">
        <v>0</v>
      </c>
      <c r="O249" t="n">
        <v>0</v>
      </c>
      <c r="P249" t="n">
        <v>0</v>
      </c>
      <c r="Q249" t="n">
        <v>0</v>
      </c>
      <c r="R249" t="n">
        <v>0</v>
      </c>
      <c r="S249" t="n">
        <v>0</v>
      </c>
      <c r="T249" t="n">
        <v>0</v>
      </c>
      <c r="U249" s="2" t="inlineStr"/>
    </row>
    <row r="250" ht="15" customHeight="1">
      <c r="A250" t="inlineStr">
        <is>
          <t>A 49433-2024</t>
        </is>
      </c>
      <c r="B250" t="inlineStr">
        <is>
          <t>avverkningsanmälan</t>
        </is>
      </c>
      <c r="C250" t="inlineStr">
        <is>
          <t>Föryngringsavverkning</t>
        </is>
      </c>
      <c r="D250" s="1" t="n">
        <v>45595</v>
      </c>
      <c r="E250" s="1" t="n">
        <v>46221</v>
      </c>
      <c r="F250" t="inlineStr">
        <is>
          <t>JÖNKÖPINGS LÄN</t>
        </is>
      </c>
      <c r="G250" t="inlineStr">
        <is>
          <t>HABO</t>
        </is>
      </c>
      <c r="I250" t="n">
        <v>5</v>
      </c>
      <c r="J250" t="n">
        <v>0</v>
      </c>
      <c r="K250" t="n">
        <v>0</v>
      </c>
      <c r="L250" t="n">
        <v>0</v>
      </c>
      <c r="M250" t="n">
        <v>0</v>
      </c>
      <c r="N250" t="n">
        <v>0</v>
      </c>
      <c r="O250" t="n">
        <v>0</v>
      </c>
      <c r="P250" t="n">
        <v>0</v>
      </c>
      <c r="Q250" t="n">
        <v>0</v>
      </c>
      <c r="R250" t="n">
        <v>0</v>
      </c>
      <c r="S250" t="n">
        <v>0</v>
      </c>
      <c r="T250" t="n">
        <v>0</v>
      </c>
      <c r="U250" s="2" t="inlineStr"/>
    </row>
    <row r="251" ht="15" customHeight="1">
      <c r="A251" t="inlineStr">
        <is>
          <t>A 49447-2024</t>
        </is>
      </c>
      <c r="B251" t="inlineStr">
        <is>
          <t>avverkningsanmälan</t>
        </is>
      </c>
      <c r="C251" t="inlineStr">
        <is>
          <t>Föryngringsavverkning</t>
        </is>
      </c>
      <c r="D251" s="1" t="n">
        <v>45595</v>
      </c>
      <c r="E251" s="1" t="n">
        <v>46221</v>
      </c>
      <c r="F251" t="inlineStr">
        <is>
          <t>JÖNKÖPINGS LÄN</t>
        </is>
      </c>
      <c r="G251" t="inlineStr">
        <is>
          <t>HABO</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35148-2022</t>
        </is>
      </c>
      <c r="B252" t="inlineStr">
        <is>
          <t>avverkningsanmälan</t>
        </is>
      </c>
      <c r="C252" t="inlineStr">
        <is>
          <t>Föryngringsavverkning</t>
        </is>
      </c>
      <c r="D252" s="1" t="n">
        <v>44797</v>
      </c>
      <c r="E252" s="1" t="n">
        <v>46221</v>
      </c>
      <c r="F252" t="inlineStr">
        <is>
          <t>JÖNKÖPINGS LÄN</t>
        </is>
      </c>
      <c r="G252" t="inlineStr">
        <is>
          <t>HABO</t>
        </is>
      </c>
      <c r="I252" t="n">
        <v>0.7</v>
      </c>
      <c r="J252" t="n">
        <v>0</v>
      </c>
      <c r="K252" t="n">
        <v>0</v>
      </c>
      <c r="L252" t="n">
        <v>0</v>
      </c>
      <c r="M252" t="n">
        <v>0</v>
      </c>
      <c r="N252" t="n">
        <v>0</v>
      </c>
      <c r="O252" t="n">
        <v>0</v>
      </c>
      <c r="P252" t="n">
        <v>0</v>
      </c>
      <c r="Q252" t="n">
        <v>0</v>
      </c>
      <c r="R252" t="n">
        <v>0</v>
      </c>
      <c r="S252" t="n">
        <v>0</v>
      </c>
      <c r="T252" t="n">
        <v>0</v>
      </c>
      <c r="U252" s="2" t="inlineStr"/>
    </row>
    <row r="253" ht="15" customHeight="1">
      <c r="A253" t="inlineStr">
        <is>
          <t>A 2780-2023</t>
        </is>
      </c>
      <c r="B253" t="inlineStr">
        <is>
          <t>avverkningsanmälan</t>
        </is>
      </c>
      <c r="C253" t="inlineStr">
        <is>
          <t>Föryngringsavverkning</t>
        </is>
      </c>
      <c r="D253" s="1" t="n">
        <v>44944</v>
      </c>
      <c r="E253" s="1" t="n">
        <v>46221</v>
      </c>
      <c r="F253" t="inlineStr">
        <is>
          <t>JÖNKÖPINGS LÄN</t>
        </is>
      </c>
      <c r="G253" t="inlineStr">
        <is>
          <t>HABO</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36483-2023</t>
        </is>
      </c>
      <c r="B254" t="inlineStr">
        <is>
          <t>avverkningsanmälan</t>
        </is>
      </c>
      <c r="C254" t="inlineStr">
        <is>
          <t>Föryngringsavverkning</t>
        </is>
      </c>
      <c r="D254" s="1" t="n">
        <v>45152</v>
      </c>
      <c r="E254" s="1" t="n">
        <v>46221</v>
      </c>
      <c r="F254" t="inlineStr">
        <is>
          <t>JÖNKÖPINGS LÄN</t>
        </is>
      </c>
      <c r="G254" t="inlineStr">
        <is>
          <t>HABO</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29496-2026</t>
        </is>
      </c>
      <c r="B255" t="inlineStr">
        <is>
          <t>avverkningsanmälan</t>
        </is>
      </c>
      <c r="C255" t="inlineStr">
        <is>
          <t>Föryngringsavverkning</t>
        </is>
      </c>
      <c r="D255" s="1" t="n">
        <v>46203</v>
      </c>
      <c r="E255" s="1" t="n">
        <v>46221</v>
      </c>
      <c r="F255" t="inlineStr">
        <is>
          <t>JÖNKÖPINGS LÄN</t>
        </is>
      </c>
      <c r="G255" t="inlineStr">
        <is>
          <t>HABO</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60726-2022</t>
        </is>
      </c>
      <c r="B256" t="inlineStr">
        <is>
          <t>avverkningsanmälan</t>
        </is>
      </c>
      <c r="C256" t="inlineStr">
        <is>
          <t>Föryngringsavverkning</t>
        </is>
      </c>
      <c r="D256" s="1" t="n">
        <v>44913</v>
      </c>
      <c r="E256" s="1" t="n">
        <v>46221</v>
      </c>
      <c r="F256" t="inlineStr">
        <is>
          <t>JÖNKÖPINGS LÄN</t>
        </is>
      </c>
      <c r="G256" t="inlineStr">
        <is>
          <t>HABO</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29492-2026</t>
        </is>
      </c>
      <c r="B257" t="inlineStr">
        <is>
          <t>avverkningsanmälan</t>
        </is>
      </c>
      <c r="C257" t="inlineStr">
        <is>
          <t>Föryngringsavverkning</t>
        </is>
      </c>
      <c r="D257" s="1" t="n">
        <v>46203</v>
      </c>
      <c r="E257" s="1" t="n">
        <v>46221</v>
      </c>
      <c r="F257" t="inlineStr">
        <is>
          <t>JÖNKÖPINGS LÄN</t>
        </is>
      </c>
      <c r="G257" t="inlineStr">
        <is>
          <t>HABO</t>
        </is>
      </c>
      <c r="I257" t="n">
        <v>0.6</v>
      </c>
      <c r="J257" t="n">
        <v>0</v>
      </c>
      <c r="K257" t="n">
        <v>0</v>
      </c>
      <c r="L257" t="n">
        <v>0</v>
      </c>
      <c r="M257" t="n">
        <v>0</v>
      </c>
      <c r="N257" t="n">
        <v>0</v>
      </c>
      <c r="O257" t="n">
        <v>0</v>
      </c>
      <c r="P257" t="n">
        <v>0</v>
      </c>
      <c r="Q257" t="n">
        <v>0</v>
      </c>
      <c r="R257" t="n">
        <v>0</v>
      </c>
      <c r="S257" t="n">
        <v>0</v>
      </c>
      <c r="T257" t="n">
        <v>0</v>
      </c>
      <c r="U257" s="2" t="inlineStr"/>
    </row>
    <row r="258" ht="15" customHeight="1">
      <c r="A258" t="inlineStr">
        <is>
          <t>A 16726-2023</t>
        </is>
      </c>
      <c r="B258" t="inlineStr">
        <is>
          <t>avverkningsanmälan</t>
        </is>
      </c>
      <c r="C258" t="inlineStr">
        <is>
          <t>Föryngringsavverkning</t>
        </is>
      </c>
      <c r="D258" s="1" t="n">
        <v>45030</v>
      </c>
      <c r="E258" s="1" t="n">
        <v>46221</v>
      </c>
      <c r="F258" t="inlineStr">
        <is>
          <t>JÖNKÖPINGS LÄN</t>
        </is>
      </c>
      <c r="G258" t="inlineStr">
        <is>
          <t>HABO</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32247-2023</t>
        </is>
      </c>
      <c r="B259" t="inlineStr">
        <is>
          <t>avverkningsanmälan</t>
        </is>
      </c>
      <c r="C259" t="inlineStr">
        <is>
          <t>Föryngringsavverkning</t>
        </is>
      </c>
      <c r="D259" s="1" t="n">
        <v>45120</v>
      </c>
      <c r="E259" s="1" t="n">
        <v>46221</v>
      </c>
      <c r="F259" t="inlineStr">
        <is>
          <t>JÖNKÖPINGS LÄN</t>
        </is>
      </c>
      <c r="G259" t="inlineStr">
        <is>
          <t>HABO</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32253-2023</t>
        </is>
      </c>
      <c r="B260" t="inlineStr">
        <is>
          <t>avverkningsanmälan</t>
        </is>
      </c>
      <c r="C260" t="inlineStr">
        <is>
          <t>Föryngringsavverkning</t>
        </is>
      </c>
      <c r="D260" s="1" t="n">
        <v>45120</v>
      </c>
      <c r="E260" s="1" t="n">
        <v>46221</v>
      </c>
      <c r="F260" t="inlineStr">
        <is>
          <t>JÖNKÖPINGS LÄN</t>
        </is>
      </c>
      <c r="G260" t="inlineStr">
        <is>
          <t>HABO</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60583-2025</t>
        </is>
      </c>
      <c r="B261" t="inlineStr">
        <is>
          <t>avverkningsanmälan</t>
        </is>
      </c>
      <c r="C261" t="inlineStr">
        <is>
          <t>Avverkning för annat ändamål</t>
        </is>
      </c>
      <c r="D261" s="1" t="n">
        <v>45996</v>
      </c>
      <c r="E261" s="1" t="n">
        <v>46221</v>
      </c>
      <c r="F261" t="inlineStr">
        <is>
          <t>JÖNKÖPINGS LÄN</t>
        </is>
      </c>
      <c r="G261" t="inlineStr">
        <is>
          <t>HABO</t>
        </is>
      </c>
      <c r="I261" t="n">
        <v>4.7</v>
      </c>
      <c r="J261" t="n">
        <v>0</v>
      </c>
      <c r="K261" t="n">
        <v>0</v>
      </c>
      <c r="L261" t="n">
        <v>0</v>
      </c>
      <c r="M261" t="n">
        <v>0</v>
      </c>
      <c r="N261" t="n">
        <v>0</v>
      </c>
      <c r="O261" t="n">
        <v>0</v>
      </c>
      <c r="P261" t="n">
        <v>0</v>
      </c>
      <c r="Q261" t="n">
        <v>0</v>
      </c>
      <c r="R261" t="n">
        <v>0</v>
      </c>
      <c r="S261" t="n">
        <v>0</v>
      </c>
      <c r="T261" t="n">
        <v>0</v>
      </c>
      <c r="U261" s="2" t="inlineStr"/>
    </row>
    <row r="262" ht="15" customHeight="1">
      <c r="A262" t="inlineStr">
        <is>
          <t>A 60583-2025</t>
        </is>
      </c>
      <c r="B262" t="inlineStr">
        <is>
          <t>avverkningsanmälan</t>
        </is>
      </c>
      <c r="C262" t="inlineStr">
        <is>
          <t>Avverkning för annat ändamål</t>
        </is>
      </c>
      <c r="D262" s="1" t="n">
        <v>45996</v>
      </c>
      <c r="E262" s="1" t="n">
        <v>46221</v>
      </c>
      <c r="F262" t="inlineStr">
        <is>
          <t>JÖNKÖPINGS LÄN</t>
        </is>
      </c>
      <c r="G262" t="inlineStr">
        <is>
          <t>HABO</t>
        </is>
      </c>
      <c r="I262" t="n">
        <v>4.7</v>
      </c>
      <c r="J262" t="n">
        <v>0</v>
      </c>
      <c r="K262" t="n">
        <v>0</v>
      </c>
      <c r="L262" t="n">
        <v>0</v>
      </c>
      <c r="M262" t="n">
        <v>0</v>
      </c>
      <c r="N262" t="n">
        <v>0</v>
      </c>
      <c r="O262" t="n">
        <v>0</v>
      </c>
      <c r="P262" t="n">
        <v>0</v>
      </c>
      <c r="Q262" t="n">
        <v>0</v>
      </c>
      <c r="R262" t="n">
        <v>0</v>
      </c>
      <c r="S262" t="n">
        <v>0</v>
      </c>
      <c r="T262" t="n">
        <v>0</v>
      </c>
      <c r="U262" s="2" t="inlineStr"/>
    </row>
    <row r="263" ht="15" customHeight="1">
      <c r="A263" t="inlineStr">
        <is>
          <t>A 15252-2024</t>
        </is>
      </c>
      <c r="B263" t="inlineStr">
        <is>
          <t>avverkningsanmälan</t>
        </is>
      </c>
      <c r="C263" t="inlineStr">
        <is>
          <t>Föryngringsavverkning</t>
        </is>
      </c>
      <c r="D263" s="1" t="n">
        <v>45400</v>
      </c>
      <c r="E263" s="1" t="n">
        <v>46221</v>
      </c>
      <c r="F263" t="inlineStr">
        <is>
          <t>JÖNKÖPINGS LÄN</t>
        </is>
      </c>
      <c r="G263" t="inlineStr">
        <is>
          <t>HABO</t>
        </is>
      </c>
      <c r="I263" t="n">
        <v>0.2</v>
      </c>
      <c r="J263" t="n">
        <v>0</v>
      </c>
      <c r="K263" t="n">
        <v>0</v>
      </c>
      <c r="L263" t="n">
        <v>0</v>
      </c>
      <c r="M263" t="n">
        <v>0</v>
      </c>
      <c r="N263" t="n">
        <v>0</v>
      </c>
      <c r="O263" t="n">
        <v>0</v>
      </c>
      <c r="P263" t="n">
        <v>0</v>
      </c>
      <c r="Q263" t="n">
        <v>0</v>
      </c>
      <c r="R263" t="n">
        <v>0</v>
      </c>
      <c r="S263" t="n">
        <v>0</v>
      </c>
      <c r="T263" t="n">
        <v>0</v>
      </c>
      <c r="U263" s="2" t="inlineStr"/>
    </row>
    <row r="264" ht="15" customHeight="1">
      <c r="A264" t="inlineStr">
        <is>
          <t>A 54988-2024</t>
        </is>
      </c>
      <c r="B264" t="inlineStr">
        <is>
          <t>avverkningsanmälan</t>
        </is>
      </c>
      <c r="C264" t="inlineStr">
        <is>
          <t>Föryngringsavverkning</t>
        </is>
      </c>
      <c r="D264" s="1" t="n">
        <v>45620</v>
      </c>
      <c r="E264" s="1" t="n">
        <v>46221</v>
      </c>
      <c r="F264" t="inlineStr">
        <is>
          <t>JÖNKÖPINGS LÄN</t>
        </is>
      </c>
      <c r="G264" t="inlineStr">
        <is>
          <t>HABO</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10943-2022</t>
        </is>
      </c>
      <c r="B265" t="inlineStr">
        <is>
          <t>avverkningsanmälan</t>
        </is>
      </c>
      <c r="C265" t="inlineStr">
        <is>
          <t>Föryngringsavverkning</t>
        </is>
      </c>
      <c r="D265" s="1" t="n">
        <v>44628</v>
      </c>
      <c r="E265" s="1" t="n">
        <v>46221</v>
      </c>
      <c r="F265" t="inlineStr">
        <is>
          <t>JÖNKÖPINGS LÄN</t>
        </is>
      </c>
      <c r="G265" t="inlineStr">
        <is>
          <t>HABO</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59917-2024</t>
        </is>
      </c>
      <c r="B266" t="inlineStr">
        <is>
          <t>avverkningsanmälan</t>
        </is>
      </c>
      <c r="C266" t="inlineStr">
        <is>
          <t>Föryngringsavverkning</t>
        </is>
      </c>
      <c r="D266" s="1" t="n">
        <v>45641</v>
      </c>
      <c r="E266" s="1" t="n">
        <v>46221</v>
      </c>
      <c r="F266" t="inlineStr">
        <is>
          <t>JÖNKÖPINGS LÄN</t>
        </is>
      </c>
      <c r="G266" t="inlineStr">
        <is>
          <t>HABO</t>
        </is>
      </c>
      <c r="I266" t="n">
        <v>3.8</v>
      </c>
      <c r="J266" t="n">
        <v>0</v>
      </c>
      <c r="K266" t="n">
        <v>0</v>
      </c>
      <c r="L266" t="n">
        <v>0</v>
      </c>
      <c r="M266" t="n">
        <v>0</v>
      </c>
      <c r="N266" t="n">
        <v>0</v>
      </c>
      <c r="O266" t="n">
        <v>0</v>
      </c>
      <c r="P266" t="n">
        <v>0</v>
      </c>
      <c r="Q266" t="n">
        <v>0</v>
      </c>
      <c r="R266" t="n">
        <v>0</v>
      </c>
      <c r="S266" t="n">
        <v>0</v>
      </c>
      <c r="T266" t="n">
        <v>0</v>
      </c>
      <c r="U266" s="2" t="inlineStr"/>
    </row>
    <row r="267" ht="15" customHeight="1">
      <c r="A267" t="inlineStr">
        <is>
          <t>A 26202-2023</t>
        </is>
      </c>
      <c r="B267" t="inlineStr">
        <is>
          <t>avverkningsanmälan</t>
        </is>
      </c>
      <c r="C267" t="inlineStr">
        <is>
          <t>Föryngringsavverkning</t>
        </is>
      </c>
      <c r="D267" s="1" t="n">
        <v>45091</v>
      </c>
      <c r="E267" s="1" t="n">
        <v>46221</v>
      </c>
      <c r="F267" t="inlineStr">
        <is>
          <t>JÖNKÖPINGS LÄN</t>
        </is>
      </c>
      <c r="G267" t="inlineStr">
        <is>
          <t>HABO</t>
        </is>
      </c>
      <c r="I267" t="n">
        <v>0.2</v>
      </c>
      <c r="J267" t="n">
        <v>0</v>
      </c>
      <c r="K267" t="n">
        <v>0</v>
      </c>
      <c r="L267" t="n">
        <v>0</v>
      </c>
      <c r="M267" t="n">
        <v>0</v>
      </c>
      <c r="N267" t="n">
        <v>0</v>
      </c>
      <c r="O267" t="n">
        <v>0</v>
      </c>
      <c r="P267" t="n">
        <v>0</v>
      </c>
      <c r="Q267" t="n">
        <v>0</v>
      </c>
      <c r="R267" t="n">
        <v>0</v>
      </c>
      <c r="S267" t="n">
        <v>0</v>
      </c>
      <c r="T267" t="n">
        <v>0</v>
      </c>
      <c r="U267" s="2" t="inlineStr"/>
    </row>
    <row r="268" ht="15" customHeight="1">
      <c r="A268" t="inlineStr">
        <is>
          <t>A 26212-2023</t>
        </is>
      </c>
      <c r="B268" t="inlineStr">
        <is>
          <t>avverkningsanmälan</t>
        </is>
      </c>
      <c r="C268" t="inlineStr">
        <is>
          <t>Föryngringsavverkning</t>
        </is>
      </c>
      <c r="D268" s="1" t="n">
        <v>45091</v>
      </c>
      <c r="E268" s="1" t="n">
        <v>46221</v>
      </c>
      <c r="F268" t="inlineStr">
        <is>
          <t>JÖNKÖPINGS LÄN</t>
        </is>
      </c>
      <c r="G268" t="inlineStr">
        <is>
          <t>HABO</t>
        </is>
      </c>
      <c r="I268" t="n">
        <v>3.9</v>
      </c>
      <c r="J268" t="n">
        <v>0</v>
      </c>
      <c r="K268" t="n">
        <v>0</v>
      </c>
      <c r="L268" t="n">
        <v>0</v>
      </c>
      <c r="M268" t="n">
        <v>0</v>
      </c>
      <c r="N268" t="n">
        <v>0</v>
      </c>
      <c r="O268" t="n">
        <v>0</v>
      </c>
      <c r="P268" t="n">
        <v>0</v>
      </c>
      <c r="Q268" t="n">
        <v>0</v>
      </c>
      <c r="R268" t="n">
        <v>0</v>
      </c>
      <c r="S268" t="n">
        <v>0</v>
      </c>
      <c r="T268" t="n">
        <v>0</v>
      </c>
      <c r="U268" s="2" t="inlineStr"/>
    </row>
    <row r="269" ht="15" customHeight="1">
      <c r="A269" t="inlineStr">
        <is>
          <t>A 31098-2026</t>
        </is>
      </c>
      <c r="B269" t="inlineStr">
        <is>
          <t>avverkningsanmälan</t>
        </is>
      </c>
      <c r="C269" t="inlineStr">
        <is>
          <t>Föryngringsavverkning</t>
        </is>
      </c>
      <c r="D269" s="1" t="n">
        <v>46216</v>
      </c>
      <c r="E269" s="1" t="n">
        <v>46221</v>
      </c>
      <c r="F269" t="inlineStr">
        <is>
          <t>JÖNKÖPINGS LÄN</t>
        </is>
      </c>
      <c r="G269" t="inlineStr">
        <is>
          <t>HABO</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47836-2023</t>
        </is>
      </c>
      <c r="B270" t="inlineStr">
        <is>
          <t>avverkningsanmälan</t>
        </is>
      </c>
      <c r="C270" t="inlineStr">
        <is>
          <t>Föryngringsavverkning</t>
        </is>
      </c>
      <c r="D270" s="1" t="n">
        <v>45204</v>
      </c>
      <c r="E270" s="1" t="n">
        <v>46221</v>
      </c>
      <c r="F270" t="inlineStr">
        <is>
          <t>JÖNKÖPINGS LÄN</t>
        </is>
      </c>
      <c r="G270" t="inlineStr">
        <is>
          <t>HABO</t>
        </is>
      </c>
      <c r="I270" t="n">
        <v>4.8</v>
      </c>
      <c r="J270" t="n">
        <v>0</v>
      </c>
      <c r="K270" t="n">
        <v>0</v>
      </c>
      <c r="L270" t="n">
        <v>0</v>
      </c>
      <c r="M270" t="n">
        <v>0</v>
      </c>
      <c r="N270" t="n">
        <v>0</v>
      </c>
      <c r="O270" t="n">
        <v>0</v>
      </c>
      <c r="P270" t="n">
        <v>0</v>
      </c>
      <c r="Q270" t="n">
        <v>0</v>
      </c>
      <c r="R270" t="n">
        <v>0</v>
      </c>
      <c r="S270" t="n">
        <v>0</v>
      </c>
      <c r="T270" t="n">
        <v>0</v>
      </c>
      <c r="U270" s="2" t="inlineStr"/>
    </row>
    <row r="271" ht="15" customHeight="1">
      <c r="A271" t="inlineStr">
        <is>
          <t>A 24606-2026</t>
        </is>
      </c>
      <c r="B271" t="inlineStr">
        <is>
          <t>avverkningsanmälan</t>
        </is>
      </c>
      <c r="C271" t="inlineStr">
        <is>
          <t>Föryngringsavverkning</t>
        </is>
      </c>
      <c r="D271" s="1" t="n">
        <v>46171</v>
      </c>
      <c r="E271" s="1" t="n">
        <v>46221</v>
      </c>
      <c r="F271" t="inlineStr">
        <is>
          <t>JÖNKÖPINGS LÄN</t>
        </is>
      </c>
      <c r="G271" t="inlineStr">
        <is>
          <t>HABO</t>
        </is>
      </c>
      <c r="I271" t="n">
        <v>0.7</v>
      </c>
      <c r="J271" t="n">
        <v>0</v>
      </c>
      <c r="K271" t="n">
        <v>0</v>
      </c>
      <c r="L271" t="n">
        <v>0</v>
      </c>
      <c r="M271" t="n">
        <v>0</v>
      </c>
      <c r="N271" t="n">
        <v>0</v>
      </c>
      <c r="O271" t="n">
        <v>0</v>
      </c>
      <c r="P271" t="n">
        <v>0</v>
      </c>
      <c r="Q271" t="n">
        <v>0</v>
      </c>
      <c r="R271" t="n">
        <v>0</v>
      </c>
      <c r="S271" t="n">
        <v>0</v>
      </c>
      <c r="T271" t="n">
        <v>0</v>
      </c>
      <c r="U271" s="2" t="inlineStr"/>
    </row>
    <row r="272" ht="15" customHeight="1">
      <c r="A272" t="inlineStr">
        <is>
          <t>A 16149-2025</t>
        </is>
      </c>
      <c r="B272" t="inlineStr">
        <is>
          <t>avverkningsanmälan</t>
        </is>
      </c>
      <c r="C272" t="inlineStr">
        <is>
          <t>Föryngringsavverkning</t>
        </is>
      </c>
      <c r="D272" s="1" t="n">
        <v>45750</v>
      </c>
      <c r="E272" s="1" t="n">
        <v>46221</v>
      </c>
      <c r="F272" t="inlineStr">
        <is>
          <t>JÖNKÖPINGS LÄN</t>
        </is>
      </c>
      <c r="G272" t="inlineStr">
        <is>
          <t>HABO</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31591-2022</t>
        </is>
      </c>
      <c r="B273" t="inlineStr">
        <is>
          <t>avverkningsanmälan</t>
        </is>
      </c>
      <c r="C273" t="inlineStr">
        <is>
          <t>Föryngringsavverkning</t>
        </is>
      </c>
      <c r="D273" s="1" t="n">
        <v>44775</v>
      </c>
      <c r="E273" s="1" t="n">
        <v>46221</v>
      </c>
      <c r="F273" t="inlineStr">
        <is>
          <t>JÖNKÖPINGS LÄN</t>
        </is>
      </c>
      <c r="G273" t="inlineStr">
        <is>
          <t>HABO</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49448-2024</t>
        </is>
      </c>
      <c r="B274" t="inlineStr">
        <is>
          <t>avverkningsanmälan</t>
        </is>
      </c>
      <c r="C274" t="inlineStr">
        <is>
          <t>Föryngringsavverkning</t>
        </is>
      </c>
      <c r="D274" s="1" t="n">
        <v>45595</v>
      </c>
      <c r="E274" s="1" t="n">
        <v>46221</v>
      </c>
      <c r="F274" t="inlineStr">
        <is>
          <t>JÖNKÖPINGS LÄN</t>
        </is>
      </c>
      <c r="G274" t="inlineStr">
        <is>
          <t>HABO</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1699-2024</t>
        </is>
      </c>
      <c r="B275" t="inlineStr">
        <is>
          <t>avverkningsanmälan</t>
        </is>
      </c>
      <c r="C275" t="inlineStr">
        <is>
          <t>Föryngringsavverkning</t>
        </is>
      </c>
      <c r="D275" s="1" t="n">
        <v>45307</v>
      </c>
      <c r="E275" s="1" t="n">
        <v>46221</v>
      </c>
      <c r="F275" t="inlineStr">
        <is>
          <t>JÖNKÖPINGS LÄN</t>
        </is>
      </c>
      <c r="G275" t="inlineStr">
        <is>
          <t>HABO</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58666-2024</t>
        </is>
      </c>
      <c r="B276" t="inlineStr">
        <is>
          <t>avverkningsanmälan</t>
        </is>
      </c>
      <c r="C276" t="inlineStr">
        <is>
          <t>Föryngringsavverkning</t>
        </is>
      </c>
      <c r="D276" s="1" t="n">
        <v>45635</v>
      </c>
      <c r="E276" s="1" t="n">
        <v>46221</v>
      </c>
      <c r="F276" t="inlineStr">
        <is>
          <t>JÖNKÖPINGS LÄN</t>
        </is>
      </c>
      <c r="G276" t="inlineStr">
        <is>
          <t>HABO</t>
        </is>
      </c>
      <c r="I276" t="n">
        <v>3.8</v>
      </c>
      <c r="J276" t="n">
        <v>0</v>
      </c>
      <c r="K276" t="n">
        <v>0</v>
      </c>
      <c r="L276" t="n">
        <v>0</v>
      </c>
      <c r="M276" t="n">
        <v>0</v>
      </c>
      <c r="N276" t="n">
        <v>0</v>
      </c>
      <c r="O276" t="n">
        <v>0</v>
      </c>
      <c r="P276" t="n">
        <v>0</v>
      </c>
      <c r="Q276" t="n">
        <v>0</v>
      </c>
      <c r="R276" t="n">
        <v>0</v>
      </c>
      <c r="S276" t="n">
        <v>0</v>
      </c>
      <c r="T276" t="n">
        <v>0</v>
      </c>
      <c r="U276" s="2" t="inlineStr"/>
    </row>
    <row r="277" ht="15" customHeight="1">
      <c r="A277" t="inlineStr">
        <is>
          <t>A 51588-2023</t>
        </is>
      </c>
      <c r="B277" t="inlineStr">
        <is>
          <t>avverkningsanmälan</t>
        </is>
      </c>
      <c r="C277" t="inlineStr">
        <is>
          <t>Avverkning för annat ändamål</t>
        </is>
      </c>
      <c r="D277" s="1" t="n">
        <v>45222</v>
      </c>
      <c r="E277" s="1" t="n">
        <v>46221</v>
      </c>
      <c r="F277" t="inlineStr">
        <is>
          <t>JÖNKÖPINGS LÄN</t>
        </is>
      </c>
      <c r="G277" t="inlineStr">
        <is>
          <t>HABO</t>
        </is>
      </c>
      <c r="I277" t="n">
        <v>3</v>
      </c>
      <c r="J277" t="n">
        <v>0</v>
      </c>
      <c r="K277" t="n">
        <v>0</v>
      </c>
      <c r="L277" t="n">
        <v>0</v>
      </c>
      <c r="M277" t="n">
        <v>0</v>
      </c>
      <c r="N277" t="n">
        <v>0</v>
      </c>
      <c r="O277" t="n">
        <v>0</v>
      </c>
      <c r="P277" t="n">
        <v>0</v>
      </c>
      <c r="Q277" t="n">
        <v>0</v>
      </c>
      <c r="R277" t="n">
        <v>0</v>
      </c>
      <c r="S277" t="n">
        <v>0</v>
      </c>
      <c r="T277" t="n">
        <v>0</v>
      </c>
      <c r="U277" s="2" t="inlineStr"/>
    </row>
    <row r="278" ht="15" customHeight="1">
      <c r="A278" t="inlineStr">
        <is>
          <t>A 25353-2026</t>
        </is>
      </c>
      <c r="B278" t="inlineStr">
        <is>
          <t>avverkningsanmälan</t>
        </is>
      </c>
      <c r="C278" t="inlineStr">
        <is>
          <t>Avverkning för annat ändamål</t>
        </is>
      </c>
      <c r="D278" s="1" t="n">
        <v>46176</v>
      </c>
      <c r="E278" s="1" t="n">
        <v>46221</v>
      </c>
      <c r="F278" t="inlineStr">
        <is>
          <t>JÖNKÖPINGS LÄN</t>
        </is>
      </c>
      <c r="G278" t="inlineStr">
        <is>
          <t>HABO</t>
        </is>
      </c>
      <c r="I278" t="n">
        <v>2.5</v>
      </c>
      <c r="J278" t="n">
        <v>0</v>
      </c>
      <c r="K278" t="n">
        <v>0</v>
      </c>
      <c r="L278" t="n">
        <v>0</v>
      </c>
      <c r="M278" t="n">
        <v>0</v>
      </c>
      <c r="N278" t="n">
        <v>0</v>
      </c>
      <c r="O278" t="n">
        <v>0</v>
      </c>
      <c r="P278" t="n">
        <v>0</v>
      </c>
      <c r="Q278" t="n">
        <v>0</v>
      </c>
      <c r="R278" t="n">
        <v>0</v>
      </c>
      <c r="S278" t="n">
        <v>0</v>
      </c>
      <c r="T278" t="n">
        <v>0</v>
      </c>
      <c r="U278" s="2" t="inlineStr"/>
    </row>
    <row r="279" ht="15" customHeight="1">
      <c r="A279" t="inlineStr">
        <is>
          <t>A 26711-2024</t>
        </is>
      </c>
      <c r="B279" t="inlineStr">
        <is>
          <t>avverkningsanmälan</t>
        </is>
      </c>
      <c r="C279" t="inlineStr">
        <is>
          <t>Föryngringsavverkning</t>
        </is>
      </c>
      <c r="D279" s="1" t="n">
        <v>45470</v>
      </c>
      <c r="E279" s="1" t="n">
        <v>46221</v>
      </c>
      <c r="F279" t="inlineStr">
        <is>
          <t>JÖNKÖPINGS LÄN</t>
        </is>
      </c>
      <c r="G279" t="inlineStr">
        <is>
          <t>HABO</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11426-2024</t>
        </is>
      </c>
      <c r="B280" t="inlineStr">
        <is>
          <t>avverkningsanmälan</t>
        </is>
      </c>
      <c r="C280" t="inlineStr">
        <is>
          <t>Föryngringsavverkning</t>
        </is>
      </c>
      <c r="D280" s="1" t="n">
        <v>45372</v>
      </c>
      <c r="E280" s="1" t="n">
        <v>46221</v>
      </c>
      <c r="F280" t="inlineStr">
        <is>
          <t>JÖNKÖPINGS LÄN</t>
        </is>
      </c>
      <c r="G280" t="inlineStr">
        <is>
          <t>HABO</t>
        </is>
      </c>
      <c r="I280" t="n">
        <v>2.3</v>
      </c>
      <c r="J280" t="n">
        <v>0</v>
      </c>
      <c r="K280" t="n">
        <v>0</v>
      </c>
      <c r="L280" t="n">
        <v>0</v>
      </c>
      <c r="M280" t="n">
        <v>0</v>
      </c>
      <c r="N280" t="n">
        <v>0</v>
      </c>
      <c r="O280" t="n">
        <v>0</v>
      </c>
      <c r="P280" t="n">
        <v>0</v>
      </c>
      <c r="Q280" t="n">
        <v>0</v>
      </c>
      <c r="R280" t="n">
        <v>0</v>
      </c>
      <c r="S280" t="n">
        <v>0</v>
      </c>
      <c r="T280" t="n">
        <v>0</v>
      </c>
      <c r="U280" s="2" t="inlineStr"/>
    </row>
    <row r="281" ht="15" customHeight="1">
      <c r="A281" t="inlineStr">
        <is>
          <t>A 54892-2021</t>
        </is>
      </c>
      <c r="B281" t="inlineStr">
        <is>
          <t>avverkningsanmälan</t>
        </is>
      </c>
      <c r="C281" t="inlineStr">
        <is>
          <t>Föryngringsavverkning</t>
        </is>
      </c>
      <c r="D281" s="1" t="n">
        <v>44474</v>
      </c>
      <c r="E281" s="1" t="n">
        <v>46221</v>
      </c>
      <c r="F281" t="inlineStr">
        <is>
          <t>JÖNKÖPINGS LÄN</t>
        </is>
      </c>
      <c r="G281" t="inlineStr">
        <is>
          <t>HABO</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53300-2022</t>
        </is>
      </c>
      <c r="B282" t="inlineStr">
        <is>
          <t>avverkningsanmälan</t>
        </is>
      </c>
      <c r="C282" t="inlineStr">
        <is>
          <t>Föryngringsavverkning</t>
        </is>
      </c>
      <c r="D282" s="1" t="n">
        <v>44877</v>
      </c>
      <c r="E282" s="1" t="n">
        <v>46221</v>
      </c>
      <c r="F282" t="inlineStr">
        <is>
          <t>JÖNKÖPINGS LÄN</t>
        </is>
      </c>
      <c r="G282" t="inlineStr">
        <is>
          <t>HABO</t>
        </is>
      </c>
      <c r="I282" t="n">
        <v>2.2</v>
      </c>
      <c r="J282" t="n">
        <v>0</v>
      </c>
      <c r="K282" t="n">
        <v>0</v>
      </c>
      <c r="L282" t="n">
        <v>0</v>
      </c>
      <c r="M282" t="n">
        <v>0</v>
      </c>
      <c r="N282" t="n">
        <v>0</v>
      </c>
      <c r="O282" t="n">
        <v>0</v>
      </c>
      <c r="P282" t="n">
        <v>0</v>
      </c>
      <c r="Q282" t="n">
        <v>0</v>
      </c>
      <c r="R282" t="n">
        <v>0</v>
      </c>
      <c r="S282" t="n">
        <v>0</v>
      </c>
      <c r="T282" t="n">
        <v>0</v>
      </c>
      <c r="U282" s="2" t="inlineStr"/>
    </row>
    <row r="283" ht="15" customHeight="1">
      <c r="A283" t="inlineStr">
        <is>
          <t>A 27795-2024</t>
        </is>
      </c>
      <c r="B283" t="inlineStr">
        <is>
          <t>avverkningsanmälan</t>
        </is>
      </c>
      <c r="C283" t="inlineStr">
        <is>
          <t>Föryngringsavverkning</t>
        </is>
      </c>
      <c r="D283" s="1" t="n">
        <v>45475</v>
      </c>
      <c r="E283" s="1" t="n">
        <v>46221</v>
      </c>
      <c r="F283" t="inlineStr">
        <is>
          <t>JÖNKÖPINGS LÄN</t>
        </is>
      </c>
      <c r="G283" t="inlineStr">
        <is>
          <t>HABO</t>
        </is>
      </c>
      <c r="I283" t="n">
        <v>1.3</v>
      </c>
      <c r="J283" t="n">
        <v>0</v>
      </c>
      <c r="K283" t="n">
        <v>0</v>
      </c>
      <c r="L283" t="n">
        <v>0</v>
      </c>
      <c r="M283" t="n">
        <v>0</v>
      </c>
      <c r="N283" t="n">
        <v>0</v>
      </c>
      <c r="O283" t="n">
        <v>0</v>
      </c>
      <c r="P283" t="n">
        <v>0</v>
      </c>
      <c r="Q283" t="n">
        <v>0</v>
      </c>
      <c r="R283" t="n">
        <v>0</v>
      </c>
      <c r="S283" t="n">
        <v>0</v>
      </c>
      <c r="T283" t="n">
        <v>0</v>
      </c>
      <c r="U283" s="2" t="inlineStr"/>
    </row>
    <row r="284" ht="15" customHeight="1">
      <c r="A284" t="inlineStr">
        <is>
          <t>A 50710-2023</t>
        </is>
      </c>
      <c r="B284" t="inlineStr">
        <is>
          <t>avverkningsanmälan</t>
        </is>
      </c>
      <c r="C284" t="inlineStr">
        <is>
          <t>Föryngringsavverkning</t>
        </is>
      </c>
      <c r="D284" s="1" t="n">
        <v>45217</v>
      </c>
      <c r="E284" s="1" t="n">
        <v>46221</v>
      </c>
      <c r="F284" t="inlineStr">
        <is>
          <t>JÖNKÖPINGS LÄN</t>
        </is>
      </c>
      <c r="G284" t="inlineStr">
        <is>
          <t>HABO</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60679-2024</t>
        </is>
      </c>
      <c r="B285" t="inlineStr">
        <is>
          <t>avverkningsanmälan</t>
        </is>
      </c>
      <c r="C285" t="inlineStr">
        <is>
          <t>Föryngringsavverkning</t>
        </is>
      </c>
      <c r="D285" s="1" t="n">
        <v>45644</v>
      </c>
      <c r="E285" s="1" t="n">
        <v>46221</v>
      </c>
      <c r="F285" t="inlineStr">
        <is>
          <t>JÖNKÖPINGS LÄN</t>
        </is>
      </c>
      <c r="G285" t="inlineStr">
        <is>
          <t>HABO</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26329-2024</t>
        </is>
      </c>
      <c r="B286" t="inlineStr">
        <is>
          <t>avverkningsanmälan</t>
        </is>
      </c>
      <c r="C286" t="inlineStr">
        <is>
          <t>Föryngringsavverkning</t>
        </is>
      </c>
      <c r="D286" s="1" t="n">
        <v>45469</v>
      </c>
      <c r="E286" s="1" t="n">
        <v>46221</v>
      </c>
      <c r="F286" t="inlineStr">
        <is>
          <t>JÖNKÖPINGS LÄN</t>
        </is>
      </c>
      <c r="G286" t="inlineStr">
        <is>
          <t>HABO</t>
        </is>
      </c>
      <c r="H286" t="inlineStr">
        <is>
          <t>Sveaskog</t>
        </is>
      </c>
      <c r="I286" t="n">
        <v>4.9</v>
      </c>
      <c r="J286" t="n">
        <v>0</v>
      </c>
      <c r="K286" t="n">
        <v>0</v>
      </c>
      <c r="L286" t="n">
        <v>0</v>
      </c>
      <c r="M286" t="n">
        <v>0</v>
      </c>
      <c r="N286" t="n">
        <v>0</v>
      </c>
      <c r="O286" t="n">
        <v>0</v>
      </c>
      <c r="P286" t="n">
        <v>0</v>
      </c>
      <c r="Q286" t="n">
        <v>0</v>
      </c>
      <c r="R286" t="n">
        <v>0</v>
      </c>
      <c r="S286" t="n">
        <v>0</v>
      </c>
      <c r="T286" t="n">
        <v>0</v>
      </c>
      <c r="U286" s="2" t="inlineStr"/>
    </row>
    <row r="287" ht="15" customHeight="1">
      <c r="A287" t="inlineStr">
        <is>
          <t>A 15251-2024</t>
        </is>
      </c>
      <c r="B287" t="inlineStr">
        <is>
          <t>avverkningsanmälan</t>
        </is>
      </c>
      <c r="C287" t="inlineStr">
        <is>
          <t>Föryngringsavverkning</t>
        </is>
      </c>
      <c r="D287" s="1" t="n">
        <v>45400</v>
      </c>
      <c r="E287" s="1" t="n">
        <v>46221</v>
      </c>
      <c r="F287" t="inlineStr">
        <is>
          <t>JÖNKÖPINGS LÄN</t>
        </is>
      </c>
      <c r="G287" t="inlineStr">
        <is>
          <t>HABO</t>
        </is>
      </c>
      <c r="I287" t="n">
        <v>0.3</v>
      </c>
      <c r="J287" t="n">
        <v>0</v>
      </c>
      <c r="K287" t="n">
        <v>0</v>
      </c>
      <c r="L287" t="n">
        <v>0</v>
      </c>
      <c r="M287" t="n">
        <v>0</v>
      </c>
      <c r="N287" t="n">
        <v>0</v>
      </c>
      <c r="O287" t="n">
        <v>0</v>
      </c>
      <c r="P287" t="n">
        <v>0</v>
      </c>
      <c r="Q287" t="n">
        <v>0</v>
      </c>
      <c r="R287" t="n">
        <v>0</v>
      </c>
      <c r="S287" t="n">
        <v>0</v>
      </c>
      <c r="T287" t="n">
        <v>0</v>
      </c>
      <c r="U287" s="2" t="inlineStr"/>
    </row>
    <row r="288" ht="15" customHeight="1">
      <c r="A288" t="inlineStr">
        <is>
          <t>A 21072-2025</t>
        </is>
      </c>
      <c r="B288" t="inlineStr">
        <is>
          <t>avverkningsanmälan</t>
        </is>
      </c>
      <c r="C288" t="inlineStr">
        <is>
          <t>Föryngringsavverkning</t>
        </is>
      </c>
      <c r="D288" s="1" t="n">
        <v>45777</v>
      </c>
      <c r="E288" s="1" t="n">
        <v>46221</v>
      </c>
      <c r="F288" t="inlineStr">
        <is>
          <t>JÖNKÖPINGS LÄN</t>
        </is>
      </c>
      <c r="G288" t="inlineStr">
        <is>
          <t>HABO</t>
        </is>
      </c>
      <c r="I288" t="n">
        <v>1.3</v>
      </c>
      <c r="J288" t="n">
        <v>0</v>
      </c>
      <c r="K288" t="n">
        <v>0</v>
      </c>
      <c r="L288" t="n">
        <v>0</v>
      </c>
      <c r="M288" t="n">
        <v>0</v>
      </c>
      <c r="N288" t="n">
        <v>0</v>
      </c>
      <c r="O288" t="n">
        <v>0</v>
      </c>
      <c r="P288" t="n">
        <v>0</v>
      </c>
      <c r="Q288" t="n">
        <v>0</v>
      </c>
      <c r="R288" t="n">
        <v>0</v>
      </c>
      <c r="S288" t="n">
        <v>0</v>
      </c>
      <c r="T288" t="n">
        <v>0</v>
      </c>
      <c r="U288" s="2" t="inlineStr"/>
    </row>
    <row r="289" ht="15" customHeight="1">
      <c r="A289" t="inlineStr">
        <is>
          <t>A 21073-2025</t>
        </is>
      </c>
      <c r="B289" t="inlineStr">
        <is>
          <t>avverkningsanmälan</t>
        </is>
      </c>
      <c r="C289" t="inlineStr">
        <is>
          <t>Föryngringsavverkning</t>
        </is>
      </c>
      <c r="D289" s="1" t="n">
        <v>45777</v>
      </c>
      <c r="E289" s="1" t="n">
        <v>46221</v>
      </c>
      <c r="F289" t="inlineStr">
        <is>
          <t>JÖNKÖPINGS LÄN</t>
        </is>
      </c>
      <c r="G289" t="inlineStr">
        <is>
          <t>HABO</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22691-2025</t>
        </is>
      </c>
      <c r="B290" t="inlineStr">
        <is>
          <t>avverkningsanmälan</t>
        </is>
      </c>
      <c r="C290" t="inlineStr">
        <is>
          <t>Föryngringsavverkning</t>
        </is>
      </c>
      <c r="D290" s="1" t="n">
        <v>45789</v>
      </c>
      <c r="E290" s="1" t="n">
        <v>46221</v>
      </c>
      <c r="F290" t="inlineStr">
        <is>
          <t>JÖNKÖPINGS LÄN</t>
        </is>
      </c>
      <c r="G290" t="inlineStr">
        <is>
          <t>HABO</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52055-2024</t>
        </is>
      </c>
      <c r="B291" t="inlineStr">
        <is>
          <t>avverkningsanmälan</t>
        </is>
      </c>
      <c r="C291" t="inlineStr">
        <is>
          <t>Avverkning för annat ändamål</t>
        </is>
      </c>
      <c r="D291" s="1" t="n">
        <v>45608</v>
      </c>
      <c r="E291" s="1" t="n">
        <v>46221</v>
      </c>
      <c r="F291" t="inlineStr">
        <is>
          <t>JÖNKÖPINGS LÄN</t>
        </is>
      </c>
      <c r="G291" t="inlineStr">
        <is>
          <t>HABO</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15802-2023</t>
        </is>
      </c>
      <c r="B292" t="inlineStr">
        <is>
          <t>avverkningsanmälan</t>
        </is>
      </c>
      <c r="C292" t="inlineStr">
        <is>
          <t>Föryngringsavverkning</t>
        </is>
      </c>
      <c r="D292" s="1" t="n">
        <v>45021</v>
      </c>
      <c r="E292" s="1" t="n">
        <v>46221</v>
      </c>
      <c r="F292" t="inlineStr">
        <is>
          <t>JÖNKÖPINGS LÄN</t>
        </is>
      </c>
      <c r="G292" t="inlineStr">
        <is>
          <t>HABO</t>
        </is>
      </c>
      <c r="I292" t="n">
        <v>2.2</v>
      </c>
      <c r="J292" t="n">
        <v>0</v>
      </c>
      <c r="K292" t="n">
        <v>0</v>
      </c>
      <c r="L292" t="n">
        <v>0</v>
      </c>
      <c r="M292" t="n">
        <v>0</v>
      </c>
      <c r="N292" t="n">
        <v>0</v>
      </c>
      <c r="O292" t="n">
        <v>0</v>
      </c>
      <c r="P292" t="n">
        <v>0</v>
      </c>
      <c r="Q292" t="n">
        <v>0</v>
      </c>
      <c r="R292" t="n">
        <v>0</v>
      </c>
      <c r="S292" t="n">
        <v>0</v>
      </c>
      <c r="T292" t="n">
        <v>0</v>
      </c>
      <c r="U292" s="2" t="inlineStr"/>
    </row>
    <row r="293" ht="15" customHeight="1">
      <c r="A293" t="inlineStr">
        <is>
          <t>A 10167-2024</t>
        </is>
      </c>
      <c r="B293" t="inlineStr">
        <is>
          <t>avverkningsanmälan</t>
        </is>
      </c>
      <c r="C293" t="inlineStr">
        <is>
          <t>Föryngringsavverkning</t>
        </is>
      </c>
      <c r="D293" s="1" t="n">
        <v>45364</v>
      </c>
      <c r="E293" s="1" t="n">
        <v>46221</v>
      </c>
      <c r="F293" t="inlineStr">
        <is>
          <t>JÖNKÖPINGS LÄN</t>
        </is>
      </c>
      <c r="G293" t="inlineStr">
        <is>
          <t>HABO</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12991-2025</t>
        </is>
      </c>
      <c r="B294" t="inlineStr">
        <is>
          <t>avverkningsanmälan</t>
        </is>
      </c>
      <c r="C294" t="inlineStr">
        <is>
          <t>Föryngringsavverkning</t>
        </is>
      </c>
      <c r="D294" s="1" t="n">
        <v>45734</v>
      </c>
      <c r="E294" s="1" t="n">
        <v>46221</v>
      </c>
      <c r="F294" t="inlineStr">
        <is>
          <t>JÖNKÖPINGS LÄN</t>
        </is>
      </c>
      <c r="G294" t="inlineStr">
        <is>
          <t>HABO</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S 570-2025</t>
        </is>
      </c>
      <c r="B295" t="inlineStr">
        <is>
          <t>samrådsanmälan</t>
        </is>
      </c>
      <c r="C295" t="inlineStr">
        <is>
          <t>Askåterföring</t>
        </is>
      </c>
      <c r="D295" s="1" t="n">
        <v>45712</v>
      </c>
      <c r="E295" s="1" t="n">
        <v>46221</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s="2" t="inlineStr"/>
    </row>
    <row r="296" ht="15" customHeight="1">
      <c r="A296" t="inlineStr">
        <is>
          <t>S 585-2025</t>
        </is>
      </c>
      <c r="B296" t="inlineStr">
        <is>
          <t>samrådsanmälan</t>
        </is>
      </c>
      <c r="C296" t="inlineStr">
        <is>
          <t>Askåterföring</t>
        </is>
      </c>
      <c r="D296" s="1" t="n">
        <v>45712</v>
      </c>
      <c r="E296" s="1" t="n">
        <v>46221</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s="2" t="inlineStr"/>
    </row>
    <row r="297" ht="15" customHeight="1">
      <c r="A297" t="inlineStr">
        <is>
          <t>S 584-2025</t>
        </is>
      </c>
      <c r="B297" t="inlineStr">
        <is>
          <t>samrådsanmälan</t>
        </is>
      </c>
      <c r="C297" t="inlineStr">
        <is>
          <t>Askåterföring</t>
        </is>
      </c>
      <c r="D297" s="1" t="n">
        <v>45712</v>
      </c>
      <c r="E297" s="1" t="n">
        <v>46221</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s="2" t="inlineStr"/>
    </row>
    <row r="298">
      <c r="A298" t="inlineStr">
        <is>
          <t>S 923-2025</t>
        </is>
      </c>
      <c r="B298" t="inlineStr">
        <is>
          <t>samrådsanmälan</t>
        </is>
      </c>
      <c r="C298" t="inlineStr">
        <is>
          <t>Askåterföring</t>
        </is>
      </c>
      <c r="D298" s="1" t="n">
        <v>45737</v>
      </c>
      <c r="E298" s="1" t="n">
        <v>46221</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2026-07-18T01:20:25Z</dcterms:created>
  <dcterms:modified xmlns:dcterms="http://purl.org/dc/terms/" xmlns:xsi="http://www.w3.org/2001/XMLSchema-instance" xsi:type="dcterms:W3CDTF">2026-07-18T01:20:25Z</dcterms:modified>
</cp:coreProperties>
</file>