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63516-2020</t>
        </is>
      </c>
      <c r="B2" s="1" t="n">
        <v>44165</v>
      </c>
      <c r="C2" s="1" t="n">
        <v>45337</v>
      </c>
      <c r="D2" t="inlineStr">
        <is>
          <t>JÖNKÖPINGS LÄN</t>
        </is>
      </c>
      <c r="E2" t="inlineStr">
        <is>
          <t>HABO</t>
        </is>
      </c>
      <c r="G2" t="n">
        <v>49.7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2">
        <f>HYPERLINK("https://klasma.github.io/Logging_0643/artfynd/A 63516-2020 artfynd.xlsx", "A 63516-2020")</f>
        <v/>
      </c>
      <c r="T2">
        <f>HYPERLINK("https://klasma.github.io/Logging_0643/kartor/A 63516-2020 karta.png", "A 63516-2020")</f>
        <v/>
      </c>
      <c r="V2">
        <f>HYPERLINK("https://klasma.github.io/Logging_0643/klagomål/A 63516-2020 FSC-klagomål.docx", "A 63516-2020")</f>
        <v/>
      </c>
      <c r="W2">
        <f>HYPERLINK("https://klasma.github.io/Logging_0643/klagomålsmail/A 63516-2020 FSC-klagomål mail.docx", "A 63516-2020")</f>
        <v/>
      </c>
      <c r="X2">
        <f>HYPERLINK("https://klasma.github.io/Logging_0643/tillsyn/A 63516-2020 tillsynsbegäran.docx", "A 63516-2020")</f>
        <v/>
      </c>
      <c r="Y2">
        <f>HYPERLINK("https://klasma.github.io/Logging_0643/tillsynsmail/A 63516-2020 tillsynsbegäran mail.docx", "A 63516-2020")</f>
        <v/>
      </c>
    </row>
    <row r="3" ht="15" customHeight="1">
      <c r="A3" t="inlineStr">
        <is>
          <t>A 35289-2019</t>
        </is>
      </c>
      <c r="B3" s="1" t="n">
        <v>43651</v>
      </c>
      <c r="C3" s="1" t="n">
        <v>45337</v>
      </c>
      <c r="D3" t="inlineStr">
        <is>
          <t>JÖNKÖPINGS LÄN</t>
        </is>
      </c>
      <c r="E3" t="inlineStr">
        <is>
          <t>HABO</t>
        </is>
      </c>
      <c r="F3" t="inlineStr">
        <is>
          <t>Allmännings- och besparingsskogar</t>
        </is>
      </c>
      <c r="G3" t="n">
        <v>6.2</v>
      </c>
      <c r="H3" t="n">
        <v>0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9</v>
      </c>
      <c r="R3" s="2" t="inlineStr">
        <is>
          <t>Motaggsvamp
Orange taggsvamp
Skrovlig taggsvamp
Svart taggsvamp
Talltaggsvamp
Tallticka
Dropptaggsvamp
Mindre märgborre
Zontaggsvamp</t>
        </is>
      </c>
      <c r="S3">
        <f>HYPERLINK("https://klasma.github.io/Logging_0643/artfynd/A 35289-2019 artfynd.xlsx", "A 35289-2019")</f>
        <v/>
      </c>
      <c r="T3">
        <f>HYPERLINK("https://klasma.github.io/Logging_0643/kartor/A 35289-2019 karta.png", "A 35289-2019")</f>
        <v/>
      </c>
      <c r="U3">
        <f>HYPERLINK("https://klasma.github.io/Logging_0643/knärot/A 35289-2019 karta knärot.png", "A 35289-2019")</f>
        <v/>
      </c>
      <c r="V3">
        <f>HYPERLINK("https://klasma.github.io/Logging_0643/klagomål/A 35289-2019 FSC-klagomål.docx", "A 35289-2019")</f>
        <v/>
      </c>
      <c r="W3">
        <f>HYPERLINK("https://klasma.github.io/Logging_0643/klagomålsmail/A 35289-2019 FSC-klagomål mail.docx", "A 35289-2019")</f>
        <v/>
      </c>
      <c r="X3">
        <f>HYPERLINK("https://klasma.github.io/Logging_0643/tillsyn/A 35289-2019 tillsynsbegäran.docx", "A 35289-2019")</f>
        <v/>
      </c>
      <c r="Y3">
        <f>HYPERLINK("https://klasma.github.io/Logging_0643/tillsynsmail/A 35289-2019 tillsynsbegäran mail.docx", "A 35289-2019")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45337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35291-2019</t>
        </is>
      </c>
      <c r="B5" s="1" t="n">
        <v>43651</v>
      </c>
      <c r="C5" s="1" t="n">
        <v>45337</v>
      </c>
      <c r="D5" t="inlineStr">
        <is>
          <t>JÖNKÖPINGS LÄN</t>
        </is>
      </c>
      <c r="E5" t="inlineStr">
        <is>
          <t>HABO</t>
        </is>
      </c>
      <c r="F5" t="inlineStr">
        <is>
          <t>Allmännings- och besparingsskogar</t>
        </is>
      </c>
      <c r="G5" t="n">
        <v>8.1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Torrmusseron
Blå taggsvamp
Motaggsvamp
Orange taggsvamp
Skrovlig taggsvamp
Dropptaggsvamp
Mindre märgborre</t>
        </is>
      </c>
      <c r="S5">
        <f>HYPERLINK("https://klasma.github.io/Logging_0643/artfynd/A 35291-2019 artfynd.xlsx", "A 35291-2019")</f>
        <v/>
      </c>
      <c r="T5">
        <f>HYPERLINK("https://klasma.github.io/Logging_0643/kartor/A 35291-2019 karta.png", "A 35291-2019")</f>
        <v/>
      </c>
      <c r="V5">
        <f>HYPERLINK("https://klasma.github.io/Logging_0643/klagomål/A 35291-2019 FSC-klagomål.docx", "A 35291-2019")</f>
        <v/>
      </c>
      <c r="W5">
        <f>HYPERLINK("https://klasma.github.io/Logging_0643/klagomålsmail/A 35291-2019 FSC-klagomål mail.docx", "A 35291-2019")</f>
        <v/>
      </c>
      <c r="X5">
        <f>HYPERLINK("https://klasma.github.io/Logging_0643/tillsyn/A 35291-2019 tillsynsbegäran.docx", "A 35291-2019")</f>
        <v/>
      </c>
      <c r="Y5">
        <f>HYPERLINK("https://klasma.github.io/Logging_0643/tillsynsmail/A 35291-2019 tillsynsbegäran mail.docx", "A 35291-2019")</f>
        <v/>
      </c>
    </row>
    <row r="6" ht="15" customHeight="1">
      <c r="A6" t="inlineStr">
        <is>
          <t>A 27640-2020</t>
        </is>
      </c>
      <c r="B6" s="1" t="n">
        <v>43993</v>
      </c>
      <c r="C6" s="1" t="n">
        <v>45337</v>
      </c>
      <c r="D6" t="inlineStr">
        <is>
          <t>JÖNKÖPINGS LÄN</t>
        </is>
      </c>
      <c r="E6" t="inlineStr">
        <is>
          <t>HABO</t>
        </is>
      </c>
      <c r="G6" t="n">
        <v>4.5</v>
      </c>
      <c r="H6" t="n">
        <v>0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Rotfingersvamp
Orange taggsvamp
Tallriska
Dropptaggsvamp
Mindre märgborre
Zontaggsvamp</t>
        </is>
      </c>
      <c r="S6">
        <f>HYPERLINK("https://klasma.github.io/Logging_0643/artfynd/A 27640-2020 artfynd.xlsx", "A 27640-2020")</f>
        <v/>
      </c>
      <c r="T6">
        <f>HYPERLINK("https://klasma.github.io/Logging_0643/kartor/A 27640-2020 karta.png", "A 27640-2020")</f>
        <v/>
      </c>
      <c r="V6">
        <f>HYPERLINK("https://klasma.github.io/Logging_0643/klagomål/A 27640-2020 FSC-klagomål.docx", "A 27640-2020")</f>
        <v/>
      </c>
      <c r="W6">
        <f>HYPERLINK("https://klasma.github.io/Logging_0643/klagomålsmail/A 27640-2020 FSC-klagomål mail.docx", "A 27640-2020")</f>
        <v/>
      </c>
      <c r="X6">
        <f>HYPERLINK("https://klasma.github.io/Logging_0643/tillsyn/A 27640-2020 tillsynsbegäran.docx", "A 27640-2020")</f>
        <v/>
      </c>
      <c r="Y6">
        <f>HYPERLINK("https://klasma.github.io/Logging_0643/tillsynsmail/A 27640-2020 tillsynsbegäran mail.docx", "A 27640-2020")</f>
        <v/>
      </c>
    </row>
    <row r="7" ht="15" customHeight="1">
      <c r="A7" t="inlineStr">
        <is>
          <t>A 58566-2019</t>
        </is>
      </c>
      <c r="B7" s="1" t="n">
        <v>43773</v>
      </c>
      <c r="C7" s="1" t="n">
        <v>45337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Tallriska
Tallticka
Blomkålssvamp
Blåmossa
Dropptaggsvamp</t>
        </is>
      </c>
      <c r="S7">
        <f>HYPERLINK("https://klasma.github.io/Logging_0643/artfynd/A 58566-2019 artfynd.xlsx", "A 58566-2019")</f>
        <v/>
      </c>
      <c r="T7">
        <f>HYPERLINK("https://klasma.github.io/Logging_0643/kartor/A 58566-2019 karta.png", "A 58566-2019")</f>
        <v/>
      </c>
      <c r="V7">
        <f>HYPERLINK("https://klasma.github.io/Logging_0643/klagomål/A 58566-2019 FSC-klagomål.docx", "A 58566-2019")</f>
        <v/>
      </c>
      <c r="W7">
        <f>HYPERLINK("https://klasma.github.io/Logging_0643/klagomålsmail/A 58566-2019 FSC-klagomål mail.docx", "A 58566-2019")</f>
        <v/>
      </c>
      <c r="X7">
        <f>HYPERLINK("https://klasma.github.io/Logging_0643/tillsyn/A 58566-2019 tillsynsbegäran.docx", "A 58566-2019")</f>
        <v/>
      </c>
      <c r="Y7">
        <f>HYPERLINK("https://klasma.github.io/Logging_0643/tillsynsmail/A 58566-2019 tillsynsbegäran mail.docx", "A 58566-2019")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45337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44444-2023</t>
        </is>
      </c>
      <c r="B9" s="1" t="n">
        <v>45183</v>
      </c>
      <c r="C9" s="1" t="n">
        <v>45337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9.5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Mellanlummer
Torrmusseron
Motaggsvamp
Svartvit taggsvamp</t>
        </is>
      </c>
      <c r="S9">
        <f>HYPERLINK("https://klasma.github.io/Logging_0643/artfynd/A 44444-2023 artfynd.xlsx", "A 44444-2023")</f>
        <v/>
      </c>
      <c r="T9">
        <f>HYPERLINK("https://klasma.github.io/Logging_0643/kartor/A 44444-2023 karta.png", "A 44444-2023")</f>
        <v/>
      </c>
      <c r="V9">
        <f>HYPERLINK("https://klasma.github.io/Logging_0643/klagomål/A 44444-2023 FSC-klagomål.docx", "A 44444-2023")</f>
        <v/>
      </c>
      <c r="W9">
        <f>HYPERLINK("https://klasma.github.io/Logging_0643/klagomålsmail/A 44444-2023 FSC-klagomål mail.docx", "A 44444-2023")</f>
        <v/>
      </c>
      <c r="X9">
        <f>HYPERLINK("https://klasma.github.io/Logging_0643/tillsyn/A 44444-2023 tillsynsbegäran.docx", "A 44444-2023")</f>
        <v/>
      </c>
      <c r="Y9">
        <f>HYPERLINK("https://klasma.github.io/Logging_0643/tillsynsmail/A 44444-2023 tillsynsbegäran mail.docx", "A 44444-2023")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45337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28842-2022</t>
        </is>
      </c>
      <c r="B11" s="1" t="n">
        <v>44749</v>
      </c>
      <c r="C11" s="1" t="n">
        <v>45337</v>
      </c>
      <c r="D11" t="inlineStr">
        <is>
          <t>JÖNKÖPINGS LÄN</t>
        </is>
      </c>
      <c r="E11" t="inlineStr">
        <is>
          <t>HABO</t>
        </is>
      </c>
      <c r="G11" t="n">
        <v>3.7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Skrovlig taggsvamp
Blomkålssvamp</t>
        </is>
      </c>
      <c r="S11">
        <f>HYPERLINK("https://klasma.github.io/Logging_0643/artfynd/A 28842-2022 artfynd.xlsx", "A 28842-2022")</f>
        <v/>
      </c>
      <c r="T11">
        <f>HYPERLINK("https://klasma.github.io/Logging_0643/kartor/A 28842-2022 karta.png", "A 28842-2022")</f>
        <v/>
      </c>
      <c r="V11">
        <f>HYPERLINK("https://klasma.github.io/Logging_0643/klagomål/A 28842-2022 FSC-klagomål.docx", "A 28842-2022")</f>
        <v/>
      </c>
      <c r="W11">
        <f>HYPERLINK("https://klasma.github.io/Logging_0643/klagomålsmail/A 28842-2022 FSC-klagomål mail.docx", "A 28842-2022")</f>
        <v/>
      </c>
      <c r="X11">
        <f>HYPERLINK("https://klasma.github.io/Logging_0643/tillsyn/A 28842-2022 tillsynsbegäran.docx", "A 28842-2022")</f>
        <v/>
      </c>
      <c r="Y11">
        <f>HYPERLINK("https://klasma.github.io/Logging_0643/tillsynsmail/A 28842-2022 tillsynsbegäran mail.docx", "A 28842-2022")</f>
        <v/>
      </c>
    </row>
    <row r="12" ht="15" customHeight="1">
      <c r="A12" t="inlineStr">
        <is>
          <t>A 28847-2022</t>
        </is>
      </c>
      <c r="B12" s="1" t="n">
        <v>44749</v>
      </c>
      <c r="C12" s="1" t="n">
        <v>45337</v>
      </c>
      <c r="D12" t="inlineStr">
        <is>
          <t>JÖNKÖPINGS LÄN</t>
        </is>
      </c>
      <c r="E12" t="inlineStr">
        <is>
          <t>HABO</t>
        </is>
      </c>
      <c r="G12" t="n">
        <v>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Zontaggsvamp</t>
        </is>
      </c>
      <c r="S12">
        <f>HYPERLINK("https://klasma.github.io/Logging_0643/artfynd/A 28847-2022 artfynd.xlsx", "A 28847-2022")</f>
        <v/>
      </c>
      <c r="T12">
        <f>HYPERLINK("https://klasma.github.io/Logging_0643/kartor/A 28847-2022 karta.png", "A 28847-2022")</f>
        <v/>
      </c>
      <c r="V12">
        <f>HYPERLINK("https://klasma.github.io/Logging_0643/klagomål/A 28847-2022 FSC-klagomål.docx", "A 28847-2022")</f>
        <v/>
      </c>
      <c r="W12">
        <f>HYPERLINK("https://klasma.github.io/Logging_0643/klagomålsmail/A 28847-2022 FSC-klagomål mail.docx", "A 28847-2022")</f>
        <v/>
      </c>
      <c r="X12">
        <f>HYPERLINK("https://klasma.github.io/Logging_0643/tillsyn/A 28847-2022 tillsynsbegäran.docx", "A 28847-2022")</f>
        <v/>
      </c>
      <c r="Y12">
        <f>HYPERLINK("https://klasma.github.io/Logging_0643/tillsynsmail/A 28847-2022 tillsynsbegäran mail.docx", "A 28847-2022")</f>
        <v/>
      </c>
    </row>
    <row r="13" ht="15" customHeight="1">
      <c r="A13" t="inlineStr">
        <is>
          <t>A 29448-2023</t>
        </is>
      </c>
      <c r="B13" s="1" t="n">
        <v>45106</v>
      </c>
      <c r="C13" s="1" t="n">
        <v>45337</v>
      </c>
      <c r="D13" t="inlineStr">
        <is>
          <t>JÖNKÖPINGS LÄN</t>
        </is>
      </c>
      <c r="E13" t="inlineStr">
        <is>
          <t>HABO</t>
        </is>
      </c>
      <c r="G13" t="n">
        <v>4.6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Guldlockmossa</t>
        </is>
      </c>
      <c r="S13">
        <f>HYPERLINK("https://klasma.github.io/Logging_0643/artfynd/A 29448-2023 artfynd.xlsx", "A 29448-2023")</f>
        <v/>
      </c>
      <c r="T13">
        <f>HYPERLINK("https://klasma.github.io/Logging_0643/kartor/A 29448-2023 karta.png", "A 29448-2023")</f>
        <v/>
      </c>
      <c r="V13">
        <f>HYPERLINK("https://klasma.github.io/Logging_0643/klagomål/A 29448-2023 FSC-klagomål.docx", "A 29448-2023")</f>
        <v/>
      </c>
      <c r="W13">
        <f>HYPERLINK("https://klasma.github.io/Logging_0643/klagomålsmail/A 29448-2023 FSC-klagomål mail.docx", "A 29448-2023")</f>
        <v/>
      </c>
      <c r="X13">
        <f>HYPERLINK("https://klasma.github.io/Logging_0643/tillsyn/A 29448-2023 tillsynsbegäran.docx", "A 29448-2023")</f>
        <v/>
      </c>
      <c r="Y13">
        <f>HYPERLINK("https://klasma.github.io/Logging_0643/tillsynsmail/A 29448-2023 tillsynsbegäran mail.docx", "A 29448-2023")</f>
        <v/>
      </c>
    </row>
    <row r="14" ht="15" customHeight="1">
      <c r="A14" t="inlineStr">
        <is>
          <t>A 53298-2022</t>
        </is>
      </c>
      <c r="B14" s="1" t="n">
        <v>44877</v>
      </c>
      <c r="C14" s="1" t="n">
        <v>45337</v>
      </c>
      <c r="D14" t="inlineStr">
        <is>
          <t>JÖNKÖPINGS LÄN</t>
        </is>
      </c>
      <c r="E14" t="inlineStr">
        <is>
          <t>HABO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HYPERLINK("https://klasma.github.io/Logging_0643/artfynd/A 53298-2022 artfynd.xlsx", "A 53298-2022")</f>
        <v/>
      </c>
      <c r="T14">
        <f>HYPERLINK("https://klasma.github.io/Logging_0643/kartor/A 53298-2022 karta.png", "A 53298-2022")</f>
        <v/>
      </c>
      <c r="V14">
        <f>HYPERLINK("https://klasma.github.io/Logging_0643/klagomål/A 53298-2022 FSC-klagomål.docx", "A 53298-2022")</f>
        <v/>
      </c>
      <c r="W14">
        <f>HYPERLINK("https://klasma.github.io/Logging_0643/klagomålsmail/A 53298-2022 FSC-klagomål mail.docx", "A 53298-2022")</f>
        <v/>
      </c>
      <c r="X14">
        <f>HYPERLINK("https://klasma.github.io/Logging_0643/tillsyn/A 53298-2022 tillsynsbegäran.docx", "A 53298-2022")</f>
        <v/>
      </c>
      <c r="Y14">
        <f>HYPERLINK("https://klasma.github.io/Logging_0643/tillsynsmail/A 53298-2022 tillsynsbegäran mail.docx", "A 53298-2022")</f>
        <v/>
      </c>
    </row>
    <row r="15" ht="15" customHeight="1">
      <c r="A15" t="inlineStr">
        <is>
          <t>A 52417-2023</t>
        </is>
      </c>
      <c r="B15" s="1" t="n">
        <v>45225</v>
      </c>
      <c r="C15" s="1" t="n">
        <v>45337</v>
      </c>
      <c r="D15" t="inlineStr">
        <is>
          <t>JÖNKÖPINGS LÄN</t>
        </is>
      </c>
      <c r="E15" t="inlineStr">
        <is>
          <t>HABO</t>
        </is>
      </c>
      <c r="G15" t="n">
        <v>9.800000000000001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HYPERLINK("https://klasma.github.io/Logging_0643/artfynd/A 52417-2023 artfynd.xlsx", "A 52417-2023")</f>
        <v/>
      </c>
      <c r="T15">
        <f>HYPERLINK("https://klasma.github.io/Logging_0643/kartor/A 52417-2023 karta.png", "A 52417-2023")</f>
        <v/>
      </c>
      <c r="V15">
        <f>HYPERLINK("https://klasma.github.io/Logging_0643/klagomål/A 52417-2023 FSC-klagomål.docx", "A 52417-2023")</f>
        <v/>
      </c>
      <c r="W15">
        <f>HYPERLINK("https://klasma.github.io/Logging_0643/klagomålsmail/A 52417-2023 FSC-klagomål mail.docx", "A 52417-2023")</f>
        <v/>
      </c>
      <c r="X15">
        <f>HYPERLINK("https://klasma.github.io/Logging_0643/tillsyn/A 52417-2023 tillsynsbegäran.docx", "A 52417-2023")</f>
        <v/>
      </c>
      <c r="Y15">
        <f>HYPERLINK("https://klasma.github.io/Logging_0643/tillsynsmail/A 52417-2023 tillsynsbegäran mail.docx", "A 52417-2023")</f>
        <v/>
      </c>
    </row>
    <row r="16" ht="15" customHeight="1">
      <c r="A16" t="inlineStr">
        <is>
          <t>A 45307-2018</t>
        </is>
      </c>
      <c r="B16" s="1" t="n">
        <v>43360</v>
      </c>
      <c r="C16" s="1" t="n">
        <v>45337</v>
      </c>
      <c r="D16" t="inlineStr">
        <is>
          <t>JÖNKÖPINGS LÄN</t>
        </is>
      </c>
      <c r="E16" t="inlineStr">
        <is>
          <t>HABO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HYPERLINK("https://klasma.github.io/Logging_0643/knärot/A 45307-2018 karta knärot.png", "A 45307-2018")</f>
        <v/>
      </c>
      <c r="V16">
        <f>HYPERLINK("https://klasma.github.io/Logging_0643/klagomål/A 45307-2018 FSC-klagomål.docx", "A 45307-2018")</f>
        <v/>
      </c>
      <c r="W16">
        <f>HYPERLINK("https://klasma.github.io/Logging_0643/klagomålsmail/A 45307-2018 FSC-klagomål mail.docx", "A 45307-2018")</f>
        <v/>
      </c>
      <c r="X16">
        <f>HYPERLINK("https://klasma.github.io/Logging_0643/tillsyn/A 45307-2018 tillsynsbegäran.docx", "A 45307-2018")</f>
        <v/>
      </c>
      <c r="Y16">
        <f>HYPERLINK("https://klasma.github.io/Logging_0643/tillsynsmail/A 45307-2018 tillsynsbegäran mail.docx", "A 45307-2018")</f>
        <v/>
      </c>
    </row>
    <row r="17" ht="15" customHeight="1">
      <c r="A17" t="inlineStr">
        <is>
          <t>A 54646-2018</t>
        </is>
      </c>
      <c r="B17" s="1" t="n">
        <v>43395</v>
      </c>
      <c r="C17" s="1" t="n">
        <v>45337</v>
      </c>
      <c r="D17" t="inlineStr">
        <is>
          <t>JÖNKÖPINGS LÄN</t>
        </is>
      </c>
      <c r="E17" t="inlineStr">
        <is>
          <t>HABO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54820-2018</t>
        </is>
      </c>
      <c r="B18" s="1" t="n">
        <v>43396</v>
      </c>
      <c r="C18" s="1" t="n">
        <v>45337</v>
      </c>
      <c r="D18" t="inlineStr">
        <is>
          <t>JÖNKÖPINGS LÄN</t>
        </is>
      </c>
      <c r="E18" t="inlineStr">
        <is>
          <t>HABO</t>
        </is>
      </c>
      <c r="F18" t="inlineStr">
        <is>
          <t>Sveaskog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61584-2018</t>
        </is>
      </c>
      <c r="B19" s="1" t="n">
        <v>43413</v>
      </c>
      <c r="C19" s="1" t="n">
        <v>45337</v>
      </c>
      <c r="D19" t="inlineStr">
        <is>
          <t>JÖNKÖPINGS LÄN</t>
        </is>
      </c>
      <c r="E19" t="inlineStr">
        <is>
          <t>HABO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69362-2018</t>
        </is>
      </c>
      <c r="B20" s="1" t="n">
        <v>43446</v>
      </c>
      <c r="C20" s="1" t="n">
        <v>45337</v>
      </c>
      <c r="D20" t="inlineStr">
        <is>
          <t>JÖNKÖPINGS LÄN</t>
        </is>
      </c>
      <c r="E20" t="inlineStr">
        <is>
          <t>HABO</t>
        </is>
      </c>
      <c r="G20" t="n">
        <v>9.199999999999999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71084-2018</t>
        </is>
      </c>
      <c r="B21" s="1" t="n">
        <v>43452</v>
      </c>
      <c r="C21" s="1" t="n">
        <v>45337</v>
      </c>
      <c r="D21" t="inlineStr">
        <is>
          <t>JÖNKÖPINGS LÄN</t>
        </is>
      </c>
      <c r="E21" t="inlineStr">
        <is>
          <t>HABO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1716-2019</t>
        </is>
      </c>
      <c r="B22" s="1" t="n">
        <v>43474</v>
      </c>
      <c r="C22" s="1" t="n">
        <v>45337</v>
      </c>
      <c r="D22" t="inlineStr">
        <is>
          <t>JÖNKÖPINGS LÄN</t>
        </is>
      </c>
      <c r="E22" t="inlineStr">
        <is>
          <t>HABO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2995-2019</t>
        </is>
      </c>
      <c r="B23" s="1" t="n">
        <v>43479</v>
      </c>
      <c r="C23" s="1" t="n">
        <v>45337</v>
      </c>
      <c r="D23" t="inlineStr">
        <is>
          <t>JÖNKÖPINGS LÄN</t>
        </is>
      </c>
      <c r="E23" t="inlineStr">
        <is>
          <t>HABO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2999-2019</t>
        </is>
      </c>
      <c r="B24" s="1" t="n">
        <v>43479</v>
      </c>
      <c r="C24" s="1" t="n">
        <v>45337</v>
      </c>
      <c r="D24" t="inlineStr">
        <is>
          <t>JÖNKÖPINGS LÄN</t>
        </is>
      </c>
      <c r="E24" t="inlineStr">
        <is>
          <t>HABO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2986-2019</t>
        </is>
      </c>
      <c r="B25" s="1" t="n">
        <v>43479</v>
      </c>
      <c r="C25" s="1" t="n">
        <v>45337</v>
      </c>
      <c r="D25" t="inlineStr">
        <is>
          <t>JÖNKÖPINGS LÄN</t>
        </is>
      </c>
      <c r="E25" t="inlineStr">
        <is>
          <t>HABO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3460-2019</t>
        </is>
      </c>
      <c r="B26" s="1" t="n">
        <v>43481</v>
      </c>
      <c r="C26" s="1" t="n">
        <v>45337</v>
      </c>
      <c r="D26" t="inlineStr">
        <is>
          <t>JÖNKÖPINGS LÄN</t>
        </is>
      </c>
      <c r="E26" t="inlineStr">
        <is>
          <t>HABO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8177-2019</t>
        </is>
      </c>
      <c r="B27" s="1" t="n">
        <v>43501</v>
      </c>
      <c r="C27" s="1" t="n">
        <v>45337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9709-2019</t>
        </is>
      </c>
      <c r="B28" s="1" t="n">
        <v>43508</v>
      </c>
      <c r="C28" s="1" t="n">
        <v>45337</v>
      </c>
      <c r="D28" t="inlineStr">
        <is>
          <t>JÖNKÖPINGS LÄN</t>
        </is>
      </c>
      <c r="E28" t="inlineStr">
        <is>
          <t>HABO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11220-2019</t>
        </is>
      </c>
      <c r="B29" s="1" t="n">
        <v>43516</v>
      </c>
      <c r="C29" s="1" t="n">
        <v>45337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11369-2019</t>
        </is>
      </c>
      <c r="B30" s="1" t="n">
        <v>43517</v>
      </c>
      <c r="C30" s="1" t="n">
        <v>45337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17611-2019</t>
        </is>
      </c>
      <c r="B31" s="1" t="n">
        <v>43555</v>
      </c>
      <c r="C31" s="1" t="n">
        <v>45337</v>
      </c>
      <c r="D31" t="inlineStr">
        <is>
          <t>JÖNKÖPINGS LÄN</t>
        </is>
      </c>
      <c r="E31" t="inlineStr">
        <is>
          <t>HABO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19279-2019</t>
        </is>
      </c>
      <c r="B32" s="1" t="n">
        <v>43565</v>
      </c>
      <c r="C32" s="1" t="n">
        <v>45337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45337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45337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45337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45337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45337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45337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45337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45337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45337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45337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45337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45337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45337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45337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45337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45337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45337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45337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45337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45337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45337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45337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45337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45337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45337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45337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45337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45337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45337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45337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45337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45337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45337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45337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45337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45337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45337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45337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45337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45337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45337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45337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45337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45337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45337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45337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45337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45337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45337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45337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45337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45337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45337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45337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45337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45337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45337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45337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45337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45337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45337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45337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45337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45337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45337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45337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45337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45337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45337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45337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45337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45337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45337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45337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45337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45337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45337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45337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45337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45337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45337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45337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45337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45337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45337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45337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45337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45337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45337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45337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45337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45337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45337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45337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45337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45337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45337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45337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45337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45337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45337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45337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45337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45337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45337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45337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45337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45337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45337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45337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45337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45337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45337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45337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45337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45337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45337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45337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45337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45337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45337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45337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45337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45337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45337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45337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45337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45337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45337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45337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45337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45337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45337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45337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45337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45337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45337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45337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45337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45337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45337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45337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45337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45337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45337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45337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45337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45337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45337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45337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45337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45337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45337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45337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45337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45337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45337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45337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45337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45337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45337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45337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45337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45337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45337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45337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45337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45337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45337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45337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45337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45337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45337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45337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45337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45337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45337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45337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45337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45337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45337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45337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45337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45337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45337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45337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45337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45337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45337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45337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45337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45337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45337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45337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45337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45337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45337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45337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45337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45337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45337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45337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45337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45337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45337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45337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45337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45337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45337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45337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45337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45337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45337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45337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45337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45337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45337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45337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45337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45337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45337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56290-2023</t>
        </is>
      </c>
      <c r="B254" s="1" t="n">
        <v>45242</v>
      </c>
      <c r="C254" s="1" t="n">
        <v>45337</v>
      </c>
      <c r="D254" t="inlineStr">
        <is>
          <t>JÖNKÖPINGS LÄN</t>
        </is>
      </c>
      <c r="E254" t="inlineStr">
        <is>
          <t>HABO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45337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45337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45337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45337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62745-2023</t>
        </is>
      </c>
      <c r="B259" s="1" t="n">
        <v>45271</v>
      </c>
      <c r="C259" s="1" t="n">
        <v>45337</v>
      </c>
      <c r="D259" t="inlineStr">
        <is>
          <t>JÖNKÖPINGS LÄN</t>
        </is>
      </c>
      <c r="E259" t="inlineStr">
        <is>
          <t>HABO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62742-2023</t>
        </is>
      </c>
      <c r="B260" s="1" t="n">
        <v>45271</v>
      </c>
      <c r="C260" s="1" t="n">
        <v>45337</v>
      </c>
      <c r="D260" t="inlineStr">
        <is>
          <t>JÖNKÖPINGS LÄN</t>
        </is>
      </c>
      <c r="E260" t="inlineStr">
        <is>
          <t>HABO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62764-2023</t>
        </is>
      </c>
      <c r="B261" s="1" t="n">
        <v>45271</v>
      </c>
      <c r="C261" s="1" t="n">
        <v>45337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45337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45337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45337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45337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45337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45337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45337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1539-2024</t>
        </is>
      </c>
      <c r="B269" s="1" t="n">
        <v>45306</v>
      </c>
      <c r="C269" s="1" t="n">
        <v>45337</v>
      </c>
      <c r="D269" t="inlineStr">
        <is>
          <t>JÖNKÖPINGS LÄN</t>
        </is>
      </c>
      <c r="E269" t="inlineStr">
        <is>
          <t>HABO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45337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45337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45337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45337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45337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45337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4837-2024</t>
        </is>
      </c>
      <c r="B276" s="1" t="n">
        <v>45329</v>
      </c>
      <c r="C276" s="1" t="n">
        <v>45337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2024-02-15T10:57:16Z</dcterms:created>
  <dcterms:modified xmlns:dcterms="http://purl.org/dc/terms/" xmlns:xsi="http://www.w3.org/2001/XMLSchema-instance" xsi:type="dcterms:W3CDTF">2024-02-15T10:57:16Z</dcterms:modified>
</cp:coreProperties>
</file>