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46202</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46202</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46202</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46202</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44444-2023</t>
        </is>
      </c>
      <c r="B6" s="1" t="n">
        <v>45183</v>
      </c>
      <c r="C6" s="1" t="n">
        <v>46202</v>
      </c>
      <c r="D6" t="inlineStr">
        <is>
          <t>JÖNKÖPINGS LÄN</t>
        </is>
      </c>
      <c r="E6" t="inlineStr">
        <is>
          <t>HABO</t>
        </is>
      </c>
      <c r="F6" t="inlineStr">
        <is>
          <t>Allmännings- och besparingsskogar</t>
        </is>
      </c>
      <c r="G6" t="n">
        <v>9.5</v>
      </c>
      <c r="H6" t="n">
        <v>2</v>
      </c>
      <c r="I6" t="n">
        <v>0</v>
      </c>
      <c r="J6" t="n">
        <v>3</v>
      </c>
      <c r="K6" t="n">
        <v>1</v>
      </c>
      <c r="L6" t="n">
        <v>1</v>
      </c>
      <c r="M6" t="n">
        <v>0</v>
      </c>
      <c r="N6" t="n">
        <v>0</v>
      </c>
      <c r="O6" t="n">
        <v>5</v>
      </c>
      <c r="P6" t="n">
        <v>2</v>
      </c>
      <c r="Q6" t="n">
        <v>5</v>
      </c>
      <c r="R6" s="2" t="inlineStr">
        <is>
          <t>Cypresslummer
Torrmusseron
Mellanlummer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58667-2024</t>
        </is>
      </c>
      <c r="B7" s="1" t="n">
        <v>45635</v>
      </c>
      <c r="C7" s="1" t="n">
        <v>46202</v>
      </c>
      <c r="D7" t="inlineStr">
        <is>
          <t>JÖNKÖPINGS LÄN</t>
        </is>
      </c>
      <c r="E7" t="inlineStr">
        <is>
          <t>HABO</t>
        </is>
      </c>
      <c r="G7" t="n">
        <v>1.8</v>
      </c>
      <c r="H7" t="n">
        <v>1</v>
      </c>
      <c r="I7" t="n">
        <v>0</v>
      </c>
      <c r="J7" t="n">
        <v>4</v>
      </c>
      <c r="K7" t="n">
        <v>1</v>
      </c>
      <c r="L7" t="n">
        <v>0</v>
      </c>
      <c r="M7" t="n">
        <v>0</v>
      </c>
      <c r="N7" t="n">
        <v>0</v>
      </c>
      <c r="O7" t="n">
        <v>5</v>
      </c>
      <c r="P7" t="n">
        <v>1</v>
      </c>
      <c r="Q7" t="n">
        <v>5</v>
      </c>
      <c r="R7" s="2" t="inlineStr">
        <is>
          <t>Knärot
Barrviolspindling
Dofttaggsvamp
Motaggsvamp
Vaddporing</t>
        </is>
      </c>
      <c r="S7">
        <f>HYPERLINK("https://klasma.github.io/Logging_0643/artfynd/A 58667-2024 artfynd.xlsx", "A 58667-2024")</f>
        <v/>
      </c>
      <c r="T7">
        <f>HYPERLINK("https://klasma.github.io/Logging_0643/kartor/A 58667-2024 karta.png", "A 58667-2024")</f>
        <v/>
      </c>
      <c r="U7">
        <f>HYPERLINK("https://klasma.github.io/Logging_0643/knärot/A 58667-2024 karta knärot.png", "A 58667-2024")</f>
        <v/>
      </c>
      <c r="V7">
        <f>HYPERLINK("https://klasma.github.io/Logging_0643/klagomål/A 58667-2024 FSC-klagomål.docx", "A 58667-2024")</f>
        <v/>
      </c>
      <c r="W7">
        <f>HYPERLINK("https://klasma.github.io/Logging_0643/klagomålsmail/A 58667-2024 FSC-klagomål mail.docx", "A 58667-2024")</f>
        <v/>
      </c>
      <c r="X7">
        <f>HYPERLINK("https://klasma.github.io/Logging_0643/tillsyn/A 58667-2024 tillsynsbegäran.docx", "A 58667-2024")</f>
        <v/>
      </c>
      <c r="Y7">
        <f>HYPERLINK("https://klasma.github.io/Logging_0643/tillsynsmail/A 58667-2024 tillsynsbegäran mail.docx", "A 58667-2024")</f>
        <v/>
      </c>
    </row>
    <row r="8" ht="15" customHeight="1">
      <c r="A8" t="inlineStr">
        <is>
          <t>A 23272-2025</t>
        </is>
      </c>
      <c r="B8" s="1" t="n">
        <v>45791</v>
      </c>
      <c r="C8" s="1" t="n">
        <v>46202</v>
      </c>
      <c r="D8" t="inlineStr">
        <is>
          <t>JÖNKÖPINGS LÄN</t>
        </is>
      </c>
      <c r="E8" t="inlineStr">
        <is>
          <t>HABO</t>
        </is>
      </c>
      <c r="G8" t="n">
        <v>8.5</v>
      </c>
      <c r="H8" t="n">
        <v>2</v>
      </c>
      <c r="I8" t="n">
        <v>0</v>
      </c>
      <c r="J8" t="n">
        <v>3</v>
      </c>
      <c r="K8" t="n">
        <v>0</v>
      </c>
      <c r="L8" t="n">
        <v>0</v>
      </c>
      <c r="M8" t="n">
        <v>0</v>
      </c>
      <c r="N8" t="n">
        <v>0</v>
      </c>
      <c r="O8" t="n">
        <v>3</v>
      </c>
      <c r="P8" t="n">
        <v>0</v>
      </c>
      <c r="Q8" t="n">
        <v>5</v>
      </c>
      <c r="R8" s="2" t="inlineStr">
        <is>
          <t>Borsttåg
Slåtterfibbla
Svinrot
Fläcknycklar
Revlummer</t>
        </is>
      </c>
      <c r="S8">
        <f>HYPERLINK("https://klasma.github.io/Logging_0643/artfynd/A 23272-2025 artfynd.xlsx", "A 23272-2025")</f>
        <v/>
      </c>
      <c r="T8">
        <f>HYPERLINK("https://klasma.github.io/Logging_0643/kartor/A 23272-2025 karta.png", "A 23272-2025")</f>
        <v/>
      </c>
      <c r="V8">
        <f>HYPERLINK("https://klasma.github.io/Logging_0643/klagomål/A 23272-2025 FSC-klagomål.docx", "A 23272-2025")</f>
        <v/>
      </c>
      <c r="W8">
        <f>HYPERLINK("https://klasma.github.io/Logging_0643/klagomålsmail/A 23272-2025 FSC-klagomål mail.docx", "A 23272-2025")</f>
        <v/>
      </c>
      <c r="X8">
        <f>HYPERLINK("https://klasma.github.io/Logging_0643/tillsyn/A 23272-2025 tillsynsbegäran.docx", "A 23272-2025")</f>
        <v/>
      </c>
      <c r="Y8">
        <f>HYPERLINK("https://klasma.github.io/Logging_0643/tillsynsmail/A 23272-2025 tillsynsbegäran mail.docx", "A 23272-2025")</f>
        <v/>
      </c>
    </row>
    <row r="9" ht="15" customHeight="1">
      <c r="A9" t="inlineStr">
        <is>
          <t>A 36431-2021</t>
        </is>
      </c>
      <c r="B9" s="1" t="n">
        <v>44390</v>
      </c>
      <c r="C9" s="1" t="n">
        <v>46202</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46202</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46202</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28842-2022</t>
        </is>
      </c>
      <c r="B12" s="1" t="n">
        <v>44749</v>
      </c>
      <c r="C12" s="1" t="n">
        <v>46202</v>
      </c>
      <c r="D12" t="inlineStr">
        <is>
          <t>JÖNKÖPINGS LÄN</t>
        </is>
      </c>
      <c r="E12" t="inlineStr">
        <is>
          <t>HABO</t>
        </is>
      </c>
      <c r="G12" t="n">
        <v>3.7</v>
      </c>
      <c r="H12" t="n">
        <v>0</v>
      </c>
      <c r="I12" t="n">
        <v>1</v>
      </c>
      <c r="J12" t="n">
        <v>1</v>
      </c>
      <c r="K12" t="n">
        <v>1</v>
      </c>
      <c r="L12" t="n">
        <v>0</v>
      </c>
      <c r="M12" t="n">
        <v>0</v>
      </c>
      <c r="N12" t="n">
        <v>0</v>
      </c>
      <c r="O12" t="n">
        <v>2</v>
      </c>
      <c r="P12" t="n">
        <v>1</v>
      </c>
      <c r="Q12" t="n">
        <v>3</v>
      </c>
      <c r="R12" s="2" t="inlineStr">
        <is>
          <t>Skrovlig taggsvamp
Dropptaggsvamp
Blomkålssvamp</t>
        </is>
      </c>
      <c r="S12">
        <f>HYPERLINK("https://klasma.github.io/Logging_0643/artfynd/A 28842-2022 artfynd.xlsx", "A 28842-2022")</f>
        <v/>
      </c>
      <c r="T12">
        <f>HYPERLINK("https://klasma.github.io/Logging_0643/kartor/A 28842-2022 karta.png", "A 28842-2022")</f>
        <v/>
      </c>
      <c r="V12">
        <f>HYPERLINK("https://klasma.github.io/Logging_0643/klagomål/A 28842-2022 FSC-klagomål.docx", "A 28842-2022")</f>
        <v/>
      </c>
      <c r="W12">
        <f>HYPERLINK("https://klasma.github.io/Logging_0643/klagomålsmail/A 28842-2022 FSC-klagomål mail.docx", "A 28842-2022")</f>
        <v/>
      </c>
      <c r="X12">
        <f>HYPERLINK("https://klasma.github.io/Logging_0643/tillsyn/A 28842-2022 tillsynsbegäran.docx", "A 28842-2022")</f>
        <v/>
      </c>
      <c r="Y12">
        <f>HYPERLINK("https://klasma.github.io/Logging_0643/tillsynsmail/A 28842-2022 tillsynsbegäran mail.docx", "A 28842-2022")</f>
        <v/>
      </c>
    </row>
    <row r="13" ht="15" customHeight="1">
      <c r="A13" t="inlineStr">
        <is>
          <t>A 57916-2024</t>
        </is>
      </c>
      <c r="B13" s="1" t="n">
        <v>45631</v>
      </c>
      <c r="C13" s="1" t="n">
        <v>46202</v>
      </c>
      <c r="D13" t="inlineStr">
        <is>
          <t>JÖNKÖPINGS LÄN</t>
        </is>
      </c>
      <c r="E13" t="inlineStr">
        <is>
          <t>HABO</t>
        </is>
      </c>
      <c r="G13" t="n">
        <v>4.7</v>
      </c>
      <c r="H13" t="n">
        <v>0</v>
      </c>
      <c r="I13" t="n">
        <v>1</v>
      </c>
      <c r="J13" t="n">
        <v>2</v>
      </c>
      <c r="K13" t="n">
        <v>0</v>
      </c>
      <c r="L13" t="n">
        <v>0</v>
      </c>
      <c r="M13" t="n">
        <v>0</v>
      </c>
      <c r="N13" t="n">
        <v>0</v>
      </c>
      <c r="O13" t="n">
        <v>2</v>
      </c>
      <c r="P13" t="n">
        <v>0</v>
      </c>
      <c r="Q13" t="n">
        <v>3</v>
      </c>
      <c r="R13" s="2" t="inlineStr">
        <is>
          <t>Motaggsvamp
Tallticka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17847-2024</t>
        </is>
      </c>
      <c r="B14" s="1" t="n">
        <v>45419</v>
      </c>
      <c r="C14" s="1" t="n">
        <v>46202</v>
      </c>
      <c r="D14" t="inlineStr">
        <is>
          <t>JÖNKÖPINGS LÄN</t>
        </is>
      </c>
      <c r="E14" t="inlineStr">
        <is>
          <t>HABO</t>
        </is>
      </c>
      <c r="G14" t="n">
        <v>3.5</v>
      </c>
      <c r="H14" t="n">
        <v>3</v>
      </c>
      <c r="I14" t="n">
        <v>0</v>
      </c>
      <c r="J14" t="n">
        <v>1</v>
      </c>
      <c r="K14" t="n">
        <v>1</v>
      </c>
      <c r="L14" t="n">
        <v>0</v>
      </c>
      <c r="M14" t="n">
        <v>0</v>
      </c>
      <c r="N14" t="n">
        <v>0</v>
      </c>
      <c r="O14" t="n">
        <v>2</v>
      </c>
      <c r="P14" t="n">
        <v>1</v>
      </c>
      <c r="Q14" t="n">
        <v>3</v>
      </c>
      <c r="R14" s="2" t="inlineStr">
        <is>
          <t>Knärot
Talltita
Revlummer</t>
        </is>
      </c>
      <c r="S14">
        <f>HYPERLINK("https://klasma.github.io/Logging_0643/artfynd/A 17847-2024 artfynd.xlsx", "A 17847-2024")</f>
        <v/>
      </c>
      <c r="T14">
        <f>HYPERLINK("https://klasma.github.io/Logging_0643/kartor/A 17847-2024 karta.png", "A 17847-2024")</f>
        <v/>
      </c>
      <c r="U14">
        <f>HYPERLINK("https://klasma.github.io/Logging_0643/knärot/A 17847-2024 karta knärot.png", "A 17847-2024")</f>
        <v/>
      </c>
      <c r="V14">
        <f>HYPERLINK("https://klasma.github.io/Logging_0643/klagomål/A 17847-2024 FSC-klagomål.docx", "A 17847-2024")</f>
        <v/>
      </c>
      <c r="W14">
        <f>HYPERLINK("https://klasma.github.io/Logging_0643/klagomålsmail/A 17847-2024 FSC-klagomål mail.docx", "A 17847-2024")</f>
        <v/>
      </c>
      <c r="X14">
        <f>HYPERLINK("https://klasma.github.io/Logging_0643/tillsyn/A 17847-2024 tillsynsbegäran.docx", "A 17847-2024")</f>
        <v/>
      </c>
      <c r="Y14">
        <f>HYPERLINK("https://klasma.github.io/Logging_0643/tillsynsmail/A 17847-2024 tillsynsbegäran mail.docx", "A 17847-2024")</f>
        <v/>
      </c>
      <c r="Z14">
        <f>HYPERLINK("https://klasma.github.io/Logging_0643/fåglar/A 17847-2024 prioriterade fågelarter.docx", "A 17847-2024")</f>
        <v/>
      </c>
    </row>
    <row r="15" ht="15" customHeight="1">
      <c r="A15" t="inlineStr">
        <is>
          <t>A 36227-2024</t>
        </is>
      </c>
      <c r="B15" s="1" t="n">
        <v>45534</v>
      </c>
      <c r="C15" s="1" t="n">
        <v>46202</v>
      </c>
      <c r="D15" t="inlineStr">
        <is>
          <t>JÖNKÖPINGS LÄN</t>
        </is>
      </c>
      <c r="E15" t="inlineStr">
        <is>
          <t>HABO</t>
        </is>
      </c>
      <c r="F15" t="inlineStr">
        <is>
          <t>Allmännings- och besparingsskogar</t>
        </is>
      </c>
      <c r="G15" t="n">
        <v>6.7</v>
      </c>
      <c r="H15" t="n">
        <v>2</v>
      </c>
      <c r="I15" t="n">
        <v>0</v>
      </c>
      <c r="J15" t="n">
        <v>1</v>
      </c>
      <c r="K15" t="n">
        <v>0</v>
      </c>
      <c r="L15" t="n">
        <v>1</v>
      </c>
      <c r="M15" t="n">
        <v>0</v>
      </c>
      <c r="N15" t="n">
        <v>0</v>
      </c>
      <c r="O15" t="n">
        <v>2</v>
      </c>
      <c r="P15" t="n">
        <v>1</v>
      </c>
      <c r="Q15" t="n">
        <v>3</v>
      </c>
      <c r="R15" s="2" t="inlineStr">
        <is>
          <t>Mosippa
Motaggsvamp
Vanlig padda</t>
        </is>
      </c>
      <c r="S15">
        <f>HYPERLINK("https://klasma.github.io/Logging_0643/artfynd/A 36227-2024 artfynd.xlsx", "A 36227-2024")</f>
        <v/>
      </c>
      <c r="T15">
        <f>HYPERLINK("https://klasma.github.io/Logging_0643/kartor/A 36227-2024 karta.png", "A 36227-2024")</f>
        <v/>
      </c>
      <c r="V15">
        <f>HYPERLINK("https://klasma.github.io/Logging_0643/klagomål/A 36227-2024 FSC-klagomål.docx", "A 36227-2024")</f>
        <v/>
      </c>
      <c r="W15">
        <f>HYPERLINK("https://klasma.github.io/Logging_0643/klagomålsmail/A 36227-2024 FSC-klagomål mail.docx", "A 36227-2024")</f>
        <v/>
      </c>
      <c r="X15">
        <f>HYPERLINK("https://klasma.github.io/Logging_0643/tillsyn/A 36227-2024 tillsynsbegäran.docx", "A 36227-2024")</f>
        <v/>
      </c>
      <c r="Y15">
        <f>HYPERLINK("https://klasma.github.io/Logging_0643/tillsynsmail/A 36227-2024 tillsynsbegäran mail.docx", "A 36227-2024")</f>
        <v/>
      </c>
    </row>
    <row r="16" ht="15" customHeight="1">
      <c r="A16" t="inlineStr">
        <is>
          <t>A 26934-2025</t>
        </is>
      </c>
      <c r="B16" s="1" t="n">
        <v>45811</v>
      </c>
      <c r="C16" s="1" t="n">
        <v>46202</v>
      </c>
      <c r="D16" t="inlineStr">
        <is>
          <t>JÖNKÖPINGS LÄN</t>
        </is>
      </c>
      <c r="E16" t="inlineStr">
        <is>
          <t>HABO</t>
        </is>
      </c>
      <c r="G16" t="n">
        <v>7.4</v>
      </c>
      <c r="H16" t="n">
        <v>1</v>
      </c>
      <c r="I16" t="n">
        <v>1</v>
      </c>
      <c r="J16" t="n">
        <v>2</v>
      </c>
      <c r="K16" t="n">
        <v>0</v>
      </c>
      <c r="L16" t="n">
        <v>0</v>
      </c>
      <c r="M16" t="n">
        <v>0</v>
      </c>
      <c r="N16" t="n">
        <v>0</v>
      </c>
      <c r="O16" t="n">
        <v>2</v>
      </c>
      <c r="P16" t="n">
        <v>0</v>
      </c>
      <c r="Q16" t="n">
        <v>3</v>
      </c>
      <c r="R16" s="2" t="inlineStr">
        <is>
          <t>Tallriska
Talltita
Dvärghäxört</t>
        </is>
      </c>
      <c r="S16">
        <f>HYPERLINK("https://klasma.github.io/Logging_0643/artfynd/A 26934-2025 artfynd.xlsx", "A 26934-2025")</f>
        <v/>
      </c>
      <c r="T16">
        <f>HYPERLINK("https://klasma.github.io/Logging_0643/kartor/A 26934-2025 karta.png", "A 26934-2025")</f>
        <v/>
      </c>
      <c r="V16">
        <f>HYPERLINK("https://klasma.github.io/Logging_0643/klagomål/A 26934-2025 FSC-klagomål.docx", "A 26934-2025")</f>
        <v/>
      </c>
      <c r="W16">
        <f>HYPERLINK("https://klasma.github.io/Logging_0643/klagomålsmail/A 26934-2025 FSC-klagomål mail.docx", "A 26934-2025")</f>
        <v/>
      </c>
      <c r="X16">
        <f>HYPERLINK("https://klasma.github.io/Logging_0643/tillsyn/A 26934-2025 tillsynsbegäran.docx", "A 26934-2025")</f>
        <v/>
      </c>
      <c r="Y16">
        <f>HYPERLINK("https://klasma.github.io/Logging_0643/tillsynsmail/A 26934-2025 tillsynsbegäran mail.docx", "A 26934-2025")</f>
        <v/>
      </c>
      <c r="Z16">
        <f>HYPERLINK("https://klasma.github.io/Logging_0643/fåglar/A 26934-2025 prioriterade fågelarter.docx", "A 26934-2025")</f>
        <v/>
      </c>
    </row>
    <row r="17" ht="15" customHeight="1">
      <c r="A17" t="inlineStr">
        <is>
          <t>A 29448-2023</t>
        </is>
      </c>
      <c r="B17" s="1" t="n">
        <v>45106</v>
      </c>
      <c r="C17" s="1" t="n">
        <v>46202</v>
      </c>
      <c r="D17" t="inlineStr">
        <is>
          <t>JÖNKÖPINGS LÄN</t>
        </is>
      </c>
      <c r="E17" t="inlineStr">
        <is>
          <t>HABO</t>
        </is>
      </c>
      <c r="G17" t="n">
        <v>4.6</v>
      </c>
      <c r="H17" t="n">
        <v>1</v>
      </c>
      <c r="I17" t="n">
        <v>1</v>
      </c>
      <c r="J17" t="n">
        <v>0</v>
      </c>
      <c r="K17" t="n">
        <v>1</v>
      </c>
      <c r="L17" t="n">
        <v>0</v>
      </c>
      <c r="M17" t="n">
        <v>0</v>
      </c>
      <c r="N17" t="n">
        <v>0</v>
      </c>
      <c r="O17" t="n">
        <v>1</v>
      </c>
      <c r="P17" t="n">
        <v>1</v>
      </c>
      <c r="Q17" t="n">
        <v>3</v>
      </c>
      <c r="R17" s="2" t="inlineStr">
        <is>
          <t>Sexfläckig bastardsvärmare
Guldlockmossa
Blåsippa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40646-2022</t>
        </is>
      </c>
      <c r="B18" s="1" t="n">
        <v>44824</v>
      </c>
      <c r="C18" s="1" t="n">
        <v>46202</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52417-2023</t>
        </is>
      </c>
      <c r="B19" s="1" t="n">
        <v>45225</v>
      </c>
      <c r="C19" s="1" t="n">
        <v>46202</v>
      </c>
      <c r="D19" t="inlineStr">
        <is>
          <t>JÖNKÖPINGS LÄN</t>
        </is>
      </c>
      <c r="E19" t="inlineStr">
        <is>
          <t>HABO</t>
        </is>
      </c>
      <c r="G19" t="n">
        <v>9.800000000000001</v>
      </c>
      <c r="H19" t="n">
        <v>1</v>
      </c>
      <c r="I19" t="n">
        <v>0</v>
      </c>
      <c r="J19" t="n">
        <v>1</v>
      </c>
      <c r="K19" t="n">
        <v>0</v>
      </c>
      <c r="L19" t="n">
        <v>0</v>
      </c>
      <c r="M19" t="n">
        <v>0</v>
      </c>
      <c r="N19" t="n">
        <v>0</v>
      </c>
      <c r="O19" t="n">
        <v>1</v>
      </c>
      <c r="P19" t="n">
        <v>0</v>
      </c>
      <c r="Q19" t="n">
        <v>2</v>
      </c>
      <c r="R19" s="2" t="inlineStr">
        <is>
          <t>Svinrot
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58663-2024</t>
        </is>
      </c>
      <c r="B20" s="1" t="n">
        <v>45635</v>
      </c>
      <c r="C20" s="1" t="n">
        <v>46202</v>
      </c>
      <c r="D20" t="inlineStr">
        <is>
          <t>JÖNKÖPINGS LÄN</t>
        </is>
      </c>
      <c r="E20" t="inlineStr">
        <is>
          <t>HABO</t>
        </is>
      </c>
      <c r="G20" t="n">
        <v>2</v>
      </c>
      <c r="H20" t="n">
        <v>0</v>
      </c>
      <c r="I20" t="n">
        <v>0</v>
      </c>
      <c r="J20" t="n">
        <v>2</v>
      </c>
      <c r="K20" t="n">
        <v>0</v>
      </c>
      <c r="L20" t="n">
        <v>0</v>
      </c>
      <c r="M20" t="n">
        <v>0</v>
      </c>
      <c r="N20" t="n">
        <v>0</v>
      </c>
      <c r="O20" t="n">
        <v>2</v>
      </c>
      <c r="P20" t="n">
        <v>0</v>
      </c>
      <c r="Q20" t="n">
        <v>2</v>
      </c>
      <c r="R20" s="2" t="inlineStr">
        <is>
          <t>Motaggsvamp
Rhithrogena germanica</t>
        </is>
      </c>
      <c r="S20">
        <f>HYPERLINK("https://klasma.github.io/Logging_0643/artfynd/A 58663-2024 artfynd.xlsx", "A 58663-2024")</f>
        <v/>
      </c>
      <c r="T20">
        <f>HYPERLINK("https://klasma.github.io/Logging_0643/kartor/A 58663-2024 karta.png", "A 58663-2024")</f>
        <v/>
      </c>
      <c r="V20">
        <f>HYPERLINK("https://klasma.github.io/Logging_0643/klagomål/A 58663-2024 FSC-klagomål.docx", "A 58663-2024")</f>
        <v/>
      </c>
      <c r="W20">
        <f>HYPERLINK("https://klasma.github.io/Logging_0643/klagomålsmail/A 58663-2024 FSC-klagomål mail.docx", "A 58663-2024")</f>
        <v/>
      </c>
      <c r="X20">
        <f>HYPERLINK("https://klasma.github.io/Logging_0643/tillsyn/A 58663-2024 tillsynsbegäran.docx", "A 58663-2024")</f>
        <v/>
      </c>
      <c r="Y20">
        <f>HYPERLINK("https://klasma.github.io/Logging_0643/tillsynsmail/A 58663-2024 tillsynsbegäran mail.docx", "A 58663-2024")</f>
        <v/>
      </c>
    </row>
    <row r="21" ht="15" customHeight="1">
      <c r="A21" t="inlineStr">
        <is>
          <t>A 38067-2025</t>
        </is>
      </c>
      <c r="B21" s="1" t="n">
        <v>45882</v>
      </c>
      <c r="C21" s="1" t="n">
        <v>46202</v>
      </c>
      <c r="D21" t="inlineStr">
        <is>
          <t>JÖNKÖPINGS LÄN</t>
        </is>
      </c>
      <c r="E21" t="inlineStr">
        <is>
          <t>HABO</t>
        </is>
      </c>
      <c r="F21" t="inlineStr">
        <is>
          <t>Allmännings- och besparingsskogar</t>
        </is>
      </c>
      <c r="G21" t="n">
        <v>1.5</v>
      </c>
      <c r="H21" t="n">
        <v>1</v>
      </c>
      <c r="I21" t="n">
        <v>0</v>
      </c>
      <c r="J21" t="n">
        <v>0</v>
      </c>
      <c r="K21" t="n">
        <v>1</v>
      </c>
      <c r="L21" t="n">
        <v>1</v>
      </c>
      <c r="M21" t="n">
        <v>0</v>
      </c>
      <c r="N21" t="n">
        <v>0</v>
      </c>
      <c r="O21" t="n">
        <v>2</v>
      </c>
      <c r="P21" t="n">
        <v>2</v>
      </c>
      <c r="Q21" t="n">
        <v>2</v>
      </c>
      <c r="R21" s="2" t="inlineStr">
        <is>
          <t>Cypresslummer
Torrmusseron</t>
        </is>
      </c>
      <c r="S21">
        <f>HYPERLINK("https://klasma.github.io/Logging_0643/artfynd/A 38067-2025 artfynd.xlsx", "A 38067-2025")</f>
        <v/>
      </c>
      <c r="T21">
        <f>HYPERLINK("https://klasma.github.io/Logging_0643/kartor/A 38067-2025 karta.png", "A 38067-2025")</f>
        <v/>
      </c>
      <c r="V21">
        <f>HYPERLINK("https://klasma.github.io/Logging_0643/klagomål/A 38067-2025 FSC-klagomål.docx", "A 38067-2025")</f>
        <v/>
      </c>
      <c r="W21">
        <f>HYPERLINK("https://klasma.github.io/Logging_0643/klagomålsmail/A 38067-2025 FSC-klagomål mail.docx", "A 38067-2025")</f>
        <v/>
      </c>
      <c r="X21">
        <f>HYPERLINK("https://klasma.github.io/Logging_0643/tillsyn/A 38067-2025 tillsynsbegäran.docx", "A 38067-2025")</f>
        <v/>
      </c>
      <c r="Y21">
        <f>HYPERLINK("https://klasma.github.io/Logging_0643/tillsynsmail/A 38067-2025 tillsynsbegäran mail.docx", "A 38067-2025")</f>
        <v/>
      </c>
    </row>
    <row r="22" ht="15" customHeight="1">
      <c r="A22" t="inlineStr">
        <is>
          <t>A 47199-2025</t>
        </is>
      </c>
      <c r="B22" s="1" t="n">
        <v>45930</v>
      </c>
      <c r="C22" s="1" t="n">
        <v>46202</v>
      </c>
      <c r="D22" t="inlineStr">
        <is>
          <t>JÖNKÖPINGS LÄN</t>
        </is>
      </c>
      <c r="E22" t="inlineStr">
        <is>
          <t>HABO</t>
        </is>
      </c>
      <c r="G22" t="n">
        <v>0.7</v>
      </c>
      <c r="H22" t="n">
        <v>1</v>
      </c>
      <c r="I22" t="n">
        <v>0</v>
      </c>
      <c r="J22" t="n">
        <v>1</v>
      </c>
      <c r="K22" t="n">
        <v>1</v>
      </c>
      <c r="L22" t="n">
        <v>0</v>
      </c>
      <c r="M22" t="n">
        <v>0</v>
      </c>
      <c r="N22" t="n">
        <v>0</v>
      </c>
      <c r="O22" t="n">
        <v>2</v>
      </c>
      <c r="P22" t="n">
        <v>1</v>
      </c>
      <c r="Q22" t="n">
        <v>2</v>
      </c>
      <c r="R22" s="2" t="inlineStr">
        <is>
          <t>Knärot
Dropptaggsvamp</t>
        </is>
      </c>
      <c r="S22">
        <f>HYPERLINK("https://klasma.github.io/Logging_0643/artfynd/A 47199-2025 artfynd.xlsx", "A 47199-2025")</f>
        <v/>
      </c>
      <c r="T22">
        <f>HYPERLINK("https://klasma.github.io/Logging_0643/kartor/A 47199-2025 karta.png", "A 47199-2025")</f>
        <v/>
      </c>
      <c r="U22">
        <f>HYPERLINK("https://klasma.github.io/Logging_0643/knärot/A 47199-2025 karta knärot.png", "A 47199-2025")</f>
        <v/>
      </c>
      <c r="V22">
        <f>HYPERLINK("https://klasma.github.io/Logging_0643/klagomål/A 47199-2025 FSC-klagomål.docx", "A 47199-2025")</f>
        <v/>
      </c>
      <c r="W22">
        <f>HYPERLINK("https://klasma.github.io/Logging_0643/klagomålsmail/A 47199-2025 FSC-klagomål mail.docx", "A 47199-2025")</f>
        <v/>
      </c>
      <c r="X22">
        <f>HYPERLINK("https://klasma.github.io/Logging_0643/tillsyn/A 47199-2025 tillsynsbegäran.docx", "A 47199-2025")</f>
        <v/>
      </c>
      <c r="Y22">
        <f>HYPERLINK("https://klasma.github.io/Logging_0643/tillsynsmail/A 47199-2025 tillsynsbegäran mail.docx", "A 47199-2025")</f>
        <v/>
      </c>
    </row>
    <row r="23" ht="15" customHeight="1">
      <c r="A23" t="inlineStr">
        <is>
          <t>A 34734-2021</t>
        </is>
      </c>
      <c r="B23" s="1" t="n">
        <v>44382</v>
      </c>
      <c r="C23" s="1" t="n">
        <v>46202</v>
      </c>
      <c r="D23" t="inlineStr">
        <is>
          <t>JÖNKÖPINGS LÄN</t>
        </is>
      </c>
      <c r="E23" t="inlineStr">
        <is>
          <t>HABO</t>
        </is>
      </c>
      <c r="G23" t="n">
        <v>7.4</v>
      </c>
      <c r="H23" t="n">
        <v>1</v>
      </c>
      <c r="I23" t="n">
        <v>0</v>
      </c>
      <c r="J23" t="n">
        <v>0</v>
      </c>
      <c r="K23" t="n">
        <v>0</v>
      </c>
      <c r="L23" t="n">
        <v>0</v>
      </c>
      <c r="M23" t="n">
        <v>0</v>
      </c>
      <c r="N23" t="n">
        <v>0</v>
      </c>
      <c r="O23" t="n">
        <v>0</v>
      </c>
      <c r="P23" t="n">
        <v>0</v>
      </c>
      <c r="Q23" t="n">
        <v>1</v>
      </c>
      <c r="R23" s="2" t="inlineStr">
        <is>
          <t>Tjäder</t>
        </is>
      </c>
      <c r="S23">
        <f>HYPERLINK("https://klasma.github.io/Logging_0643/artfynd/A 34734-2021 artfynd.xlsx", "A 34734-2021")</f>
        <v/>
      </c>
      <c r="T23">
        <f>HYPERLINK("https://klasma.github.io/Logging_0643/kartor/A 34734-2021 karta.png", "A 34734-2021")</f>
        <v/>
      </c>
      <c r="V23">
        <f>HYPERLINK("https://klasma.github.io/Logging_0643/klagomål/A 34734-2021 FSC-klagomål.docx", "A 34734-2021")</f>
        <v/>
      </c>
      <c r="W23">
        <f>HYPERLINK("https://klasma.github.io/Logging_0643/klagomålsmail/A 34734-2021 FSC-klagomål mail.docx", "A 34734-2021")</f>
        <v/>
      </c>
      <c r="X23">
        <f>HYPERLINK("https://klasma.github.io/Logging_0643/tillsyn/A 34734-2021 tillsynsbegäran.docx", "A 34734-2021")</f>
        <v/>
      </c>
      <c r="Y23">
        <f>HYPERLINK("https://klasma.github.io/Logging_0643/tillsynsmail/A 34734-2021 tillsynsbegäran mail.docx", "A 34734-2021")</f>
        <v/>
      </c>
      <c r="Z23">
        <f>HYPERLINK("https://klasma.github.io/Logging_0643/fåglar/A 34734-2021 prioriterade fågelarter.docx", "A 34734-2021")</f>
        <v/>
      </c>
    </row>
    <row r="24" ht="15" customHeight="1">
      <c r="A24" t="inlineStr">
        <is>
          <t>A 58644-2024</t>
        </is>
      </c>
      <c r="B24" s="1" t="n">
        <v>45635</v>
      </c>
      <c r="C24" s="1" t="n">
        <v>46202</v>
      </c>
      <c r="D24" t="inlineStr">
        <is>
          <t>JÖNKÖPINGS LÄN</t>
        </is>
      </c>
      <c r="E24" t="inlineStr">
        <is>
          <t>HABO</t>
        </is>
      </c>
      <c r="G24" t="n">
        <v>4.5</v>
      </c>
      <c r="H24" t="n">
        <v>0</v>
      </c>
      <c r="I24" t="n">
        <v>0</v>
      </c>
      <c r="J24" t="n">
        <v>1</v>
      </c>
      <c r="K24" t="n">
        <v>0</v>
      </c>
      <c r="L24" t="n">
        <v>0</v>
      </c>
      <c r="M24" t="n">
        <v>0</v>
      </c>
      <c r="N24" t="n">
        <v>0</v>
      </c>
      <c r="O24" t="n">
        <v>1</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28825-2022</t>
        </is>
      </c>
      <c r="B25" s="1" t="n">
        <v>44749</v>
      </c>
      <c r="C25" s="1" t="n">
        <v>46202</v>
      </c>
      <c r="D25" t="inlineStr">
        <is>
          <t>JÖNKÖPINGS LÄN</t>
        </is>
      </c>
      <c r="E25" t="inlineStr">
        <is>
          <t>HABO</t>
        </is>
      </c>
      <c r="G25" t="n">
        <v>1.7</v>
      </c>
      <c r="H25" t="n">
        <v>0</v>
      </c>
      <c r="I25" t="n">
        <v>0</v>
      </c>
      <c r="J25" t="n">
        <v>0</v>
      </c>
      <c r="K25" t="n">
        <v>1</v>
      </c>
      <c r="L25" t="n">
        <v>0</v>
      </c>
      <c r="M25" t="n">
        <v>0</v>
      </c>
      <c r="N25" t="n">
        <v>0</v>
      </c>
      <c r="O25" t="n">
        <v>1</v>
      </c>
      <c r="P25" t="n">
        <v>1</v>
      </c>
      <c r="Q25" t="n">
        <v>1</v>
      </c>
      <c r="R25" s="2" t="inlineStr">
        <is>
          <t>Skrovlig taggsvamp</t>
        </is>
      </c>
      <c r="S25">
        <f>HYPERLINK("https://klasma.github.io/Logging_0643/artfynd/A 28825-2022 artfynd.xlsx", "A 28825-2022")</f>
        <v/>
      </c>
      <c r="T25">
        <f>HYPERLINK("https://klasma.github.io/Logging_0643/kartor/A 28825-2022 karta.png", "A 28825-2022")</f>
        <v/>
      </c>
      <c r="V25">
        <f>HYPERLINK("https://klasma.github.io/Logging_0643/klagomål/A 28825-2022 FSC-klagomål.docx", "A 28825-2022")</f>
        <v/>
      </c>
      <c r="W25">
        <f>HYPERLINK("https://klasma.github.io/Logging_0643/klagomålsmail/A 28825-2022 FSC-klagomål mail.docx", "A 28825-2022")</f>
        <v/>
      </c>
      <c r="X25">
        <f>HYPERLINK("https://klasma.github.io/Logging_0643/tillsyn/A 28825-2022 tillsynsbegäran.docx", "A 28825-2022")</f>
        <v/>
      </c>
      <c r="Y25">
        <f>HYPERLINK("https://klasma.github.io/Logging_0643/tillsynsmail/A 28825-2022 tillsynsbegäran mail.docx", "A 28825-2022")</f>
        <v/>
      </c>
    </row>
    <row r="26" ht="15" customHeight="1">
      <c r="A26" t="inlineStr">
        <is>
          <t>A 35115-2021</t>
        </is>
      </c>
      <c r="B26" s="1" t="n">
        <v>44384</v>
      </c>
      <c r="C26" s="1" t="n">
        <v>46202</v>
      </c>
      <c r="D26" t="inlineStr">
        <is>
          <t>JÖNKÖPINGS LÄN</t>
        </is>
      </c>
      <c r="E26" t="inlineStr">
        <is>
          <t>HABO</t>
        </is>
      </c>
      <c r="G26" t="n">
        <v>8.4</v>
      </c>
      <c r="H26" t="n">
        <v>1</v>
      </c>
      <c r="I26" t="n">
        <v>0</v>
      </c>
      <c r="J26" t="n">
        <v>1</v>
      </c>
      <c r="K26" t="n">
        <v>0</v>
      </c>
      <c r="L26" t="n">
        <v>0</v>
      </c>
      <c r="M26" t="n">
        <v>0</v>
      </c>
      <c r="N26" t="n">
        <v>0</v>
      </c>
      <c r="O26" t="n">
        <v>1</v>
      </c>
      <c r="P26" t="n">
        <v>0</v>
      </c>
      <c r="Q26" t="n">
        <v>1</v>
      </c>
      <c r="R26" s="2" t="inlineStr">
        <is>
          <t>Grönsångare</t>
        </is>
      </c>
      <c r="S26">
        <f>HYPERLINK("https://klasma.github.io/Logging_0643/artfynd/A 35115-2021 artfynd.xlsx", "A 35115-2021")</f>
        <v/>
      </c>
      <c r="T26">
        <f>HYPERLINK("https://klasma.github.io/Logging_0643/kartor/A 35115-2021 karta.png", "A 35115-2021")</f>
        <v/>
      </c>
      <c r="V26">
        <f>HYPERLINK("https://klasma.github.io/Logging_0643/klagomål/A 35115-2021 FSC-klagomål.docx", "A 35115-2021")</f>
        <v/>
      </c>
      <c r="W26">
        <f>HYPERLINK("https://klasma.github.io/Logging_0643/klagomålsmail/A 35115-2021 FSC-klagomål mail.docx", "A 35115-2021")</f>
        <v/>
      </c>
      <c r="X26">
        <f>HYPERLINK("https://klasma.github.io/Logging_0643/tillsyn/A 35115-2021 tillsynsbegäran.docx", "A 35115-2021")</f>
        <v/>
      </c>
      <c r="Y26">
        <f>HYPERLINK("https://klasma.github.io/Logging_0643/tillsynsmail/A 35115-2021 tillsynsbegäran mail.docx", "A 35115-2021")</f>
        <v/>
      </c>
      <c r="Z26">
        <f>HYPERLINK("https://klasma.github.io/Logging_0643/fåglar/A 35115-2021 prioriterade fågelarter.docx", "A 35115-2021")</f>
        <v/>
      </c>
    </row>
    <row r="27" ht="15" customHeight="1">
      <c r="A27" t="inlineStr">
        <is>
          <t>A 58668-2024</t>
        </is>
      </c>
      <c r="B27" s="1" t="n">
        <v>45635</v>
      </c>
      <c r="C27" s="1" t="n">
        <v>46202</v>
      </c>
      <c r="D27" t="inlineStr">
        <is>
          <t>JÖNKÖPINGS LÄN</t>
        </is>
      </c>
      <c r="E27" t="inlineStr">
        <is>
          <t>HABO</t>
        </is>
      </c>
      <c r="G27" t="n">
        <v>1.1</v>
      </c>
      <c r="H27" t="n">
        <v>0</v>
      </c>
      <c r="I27" t="n">
        <v>0</v>
      </c>
      <c r="J27" t="n">
        <v>1</v>
      </c>
      <c r="K27" t="n">
        <v>0</v>
      </c>
      <c r="L27" t="n">
        <v>0</v>
      </c>
      <c r="M27" t="n">
        <v>0</v>
      </c>
      <c r="N27" t="n">
        <v>0</v>
      </c>
      <c r="O27" t="n">
        <v>1</v>
      </c>
      <c r="P27" t="n">
        <v>0</v>
      </c>
      <c r="Q27" t="n">
        <v>1</v>
      </c>
      <c r="R27" s="2" t="inlineStr">
        <is>
          <t>Vaddporing</t>
        </is>
      </c>
      <c r="S27">
        <f>HYPERLINK("https://klasma.github.io/Logging_0643/artfynd/A 58668-2024 artfynd.xlsx", "A 58668-2024")</f>
        <v/>
      </c>
      <c r="T27">
        <f>HYPERLINK("https://klasma.github.io/Logging_0643/kartor/A 58668-2024 karta.png", "A 58668-2024")</f>
        <v/>
      </c>
      <c r="V27">
        <f>HYPERLINK("https://klasma.github.io/Logging_0643/klagomål/A 58668-2024 FSC-klagomål.docx", "A 58668-2024")</f>
        <v/>
      </c>
      <c r="W27">
        <f>HYPERLINK("https://klasma.github.io/Logging_0643/klagomålsmail/A 58668-2024 FSC-klagomål mail.docx", "A 58668-2024")</f>
        <v/>
      </c>
      <c r="X27">
        <f>HYPERLINK("https://klasma.github.io/Logging_0643/tillsyn/A 58668-2024 tillsynsbegäran.docx", "A 58668-2024")</f>
        <v/>
      </c>
      <c r="Y27">
        <f>HYPERLINK("https://klasma.github.io/Logging_0643/tillsynsmail/A 58668-2024 tillsynsbegäran mail.docx", "A 58668-2024")</f>
        <v/>
      </c>
    </row>
    <row r="28" ht="15" customHeight="1">
      <c r="A28" t="inlineStr">
        <is>
          <t>A 40575-2021</t>
        </is>
      </c>
      <c r="B28" s="1" t="n">
        <v>44420</v>
      </c>
      <c r="C28" s="1" t="n">
        <v>46202</v>
      </c>
      <c r="D28" t="inlineStr">
        <is>
          <t>JÖNKÖPINGS LÄN</t>
        </is>
      </c>
      <c r="E28" t="inlineStr">
        <is>
          <t>HABO</t>
        </is>
      </c>
      <c r="G28" t="n">
        <v>3.2</v>
      </c>
      <c r="H28" t="n">
        <v>0</v>
      </c>
      <c r="I28" t="n">
        <v>0</v>
      </c>
      <c r="J28" t="n">
        <v>1</v>
      </c>
      <c r="K28" t="n">
        <v>0</v>
      </c>
      <c r="L28" t="n">
        <v>0</v>
      </c>
      <c r="M28" t="n">
        <v>0</v>
      </c>
      <c r="N28" t="n">
        <v>0</v>
      </c>
      <c r="O28" t="n">
        <v>1</v>
      </c>
      <c r="P28" t="n">
        <v>0</v>
      </c>
      <c r="Q28" t="n">
        <v>1</v>
      </c>
      <c r="R28" s="2" t="inlineStr">
        <is>
          <t>Motaggsvamp</t>
        </is>
      </c>
      <c r="S28">
        <f>HYPERLINK("https://klasma.github.io/Logging_0643/artfynd/A 40575-2021 artfynd.xlsx", "A 40575-2021")</f>
        <v/>
      </c>
      <c r="T28">
        <f>HYPERLINK("https://klasma.github.io/Logging_0643/kartor/A 40575-2021 karta.png", "A 40575-2021")</f>
        <v/>
      </c>
      <c r="V28">
        <f>HYPERLINK("https://klasma.github.io/Logging_0643/klagomål/A 40575-2021 FSC-klagomål.docx", "A 40575-2021")</f>
        <v/>
      </c>
      <c r="W28">
        <f>HYPERLINK("https://klasma.github.io/Logging_0643/klagomålsmail/A 40575-2021 FSC-klagomål mail.docx", "A 40575-2021")</f>
        <v/>
      </c>
      <c r="X28">
        <f>HYPERLINK("https://klasma.github.io/Logging_0643/tillsyn/A 40575-2021 tillsynsbegäran.docx", "A 40575-2021")</f>
        <v/>
      </c>
      <c r="Y28">
        <f>HYPERLINK("https://klasma.github.io/Logging_0643/tillsynsmail/A 40575-2021 tillsynsbegäran mail.docx", "A 40575-2021")</f>
        <v/>
      </c>
    </row>
    <row r="29" ht="15" customHeight="1">
      <c r="A29" t="inlineStr">
        <is>
          <t>A 49866-2024</t>
        </is>
      </c>
      <c r="B29" s="1" t="n">
        <v>45597</v>
      </c>
      <c r="C29" s="1" t="n">
        <v>46202</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27669-2025</t>
        </is>
      </c>
      <c r="B30" s="1" t="n">
        <v>45813</v>
      </c>
      <c r="C30" s="1" t="n">
        <v>46202</v>
      </c>
      <c r="D30" t="inlineStr">
        <is>
          <t>JÖNKÖPINGS LÄN</t>
        </is>
      </c>
      <c r="E30" t="inlineStr">
        <is>
          <t>HABO</t>
        </is>
      </c>
      <c r="G30" t="n">
        <v>7.2</v>
      </c>
      <c r="H30" t="n">
        <v>1</v>
      </c>
      <c r="I30" t="n">
        <v>0</v>
      </c>
      <c r="J30" t="n">
        <v>1</v>
      </c>
      <c r="K30" t="n">
        <v>0</v>
      </c>
      <c r="L30" t="n">
        <v>0</v>
      </c>
      <c r="M30" t="n">
        <v>0</v>
      </c>
      <c r="N30" t="n">
        <v>0</v>
      </c>
      <c r="O30" t="n">
        <v>1</v>
      </c>
      <c r="P30" t="n">
        <v>0</v>
      </c>
      <c r="Q30" t="n">
        <v>1</v>
      </c>
      <c r="R30" s="2" t="inlineStr">
        <is>
          <t>Mellanlummer</t>
        </is>
      </c>
      <c r="S30">
        <f>HYPERLINK("https://klasma.github.io/Logging_0643/artfynd/A 27669-2025 artfynd.xlsx", "A 27669-2025")</f>
        <v/>
      </c>
      <c r="T30">
        <f>HYPERLINK("https://klasma.github.io/Logging_0643/kartor/A 27669-2025 karta.png", "A 27669-2025")</f>
        <v/>
      </c>
      <c r="V30">
        <f>HYPERLINK("https://klasma.github.io/Logging_0643/klagomål/A 27669-2025 FSC-klagomål.docx", "A 27669-2025")</f>
        <v/>
      </c>
      <c r="W30">
        <f>HYPERLINK("https://klasma.github.io/Logging_0643/klagomålsmail/A 27669-2025 FSC-klagomål mail.docx", "A 27669-2025")</f>
        <v/>
      </c>
      <c r="X30">
        <f>HYPERLINK("https://klasma.github.io/Logging_0643/tillsyn/A 27669-2025 tillsynsbegäran.docx", "A 27669-2025")</f>
        <v/>
      </c>
      <c r="Y30">
        <f>HYPERLINK("https://klasma.github.io/Logging_0643/tillsynsmail/A 27669-2025 tillsynsbegäran mail.docx", "A 27669-2025")</f>
        <v/>
      </c>
    </row>
    <row r="31" ht="15" customHeight="1">
      <c r="A31" t="inlineStr">
        <is>
          <t>A 15587-2025</t>
        </is>
      </c>
      <c r="B31" s="1" t="n">
        <v>45747</v>
      </c>
      <c r="C31" s="1" t="n">
        <v>46202</v>
      </c>
      <c r="D31" t="inlineStr">
        <is>
          <t>JÖNKÖPINGS LÄN</t>
        </is>
      </c>
      <c r="E31" t="inlineStr">
        <is>
          <t>HABO</t>
        </is>
      </c>
      <c r="G31" t="n">
        <v>1.7</v>
      </c>
      <c r="H31" t="n">
        <v>1</v>
      </c>
      <c r="I31" t="n">
        <v>0</v>
      </c>
      <c r="J31" t="n">
        <v>0</v>
      </c>
      <c r="K31" t="n">
        <v>0</v>
      </c>
      <c r="L31" t="n">
        <v>0</v>
      </c>
      <c r="M31" t="n">
        <v>0</v>
      </c>
      <c r="N31" t="n">
        <v>0</v>
      </c>
      <c r="O31" t="n">
        <v>0</v>
      </c>
      <c r="P31" t="n">
        <v>0</v>
      </c>
      <c r="Q31" t="n">
        <v>1</v>
      </c>
      <c r="R31" s="2" t="inlineStr">
        <is>
          <t>Röd glada</t>
        </is>
      </c>
      <c r="S31">
        <f>HYPERLINK("https://klasma.github.io/Logging_0643/artfynd/A 15587-2025 artfynd.xlsx", "A 15587-2025")</f>
        <v/>
      </c>
      <c r="T31">
        <f>HYPERLINK("https://klasma.github.io/Logging_0643/kartor/A 15587-2025 karta.png", "A 15587-2025")</f>
        <v/>
      </c>
      <c r="V31">
        <f>HYPERLINK("https://klasma.github.io/Logging_0643/klagomål/A 15587-2025 FSC-klagomål.docx", "A 15587-2025")</f>
        <v/>
      </c>
      <c r="W31">
        <f>HYPERLINK("https://klasma.github.io/Logging_0643/klagomålsmail/A 15587-2025 FSC-klagomål mail.docx", "A 15587-2025")</f>
        <v/>
      </c>
      <c r="X31">
        <f>HYPERLINK("https://klasma.github.io/Logging_0643/tillsyn/A 15587-2025 tillsynsbegäran.docx", "A 15587-2025")</f>
        <v/>
      </c>
      <c r="Y31">
        <f>HYPERLINK("https://klasma.github.io/Logging_0643/tillsynsmail/A 15587-2025 tillsynsbegäran mail.docx", "A 15587-2025")</f>
        <v/>
      </c>
      <c r="Z31">
        <f>HYPERLINK("https://klasma.github.io/Logging_0643/fåglar/A 15587-2025 prioriterade fågelarter.docx", "A 15587-2025")</f>
        <v/>
      </c>
    </row>
    <row r="32" ht="15" customHeight="1">
      <c r="A32" t="inlineStr">
        <is>
          <t>A 44439-2023</t>
        </is>
      </c>
      <c r="B32" s="1" t="n">
        <v>45183</v>
      </c>
      <c r="C32" s="1" t="n">
        <v>46202</v>
      </c>
      <c r="D32" t="inlineStr">
        <is>
          <t>JÖNKÖPINGS LÄN</t>
        </is>
      </c>
      <c r="E32" t="inlineStr">
        <is>
          <t>HABO</t>
        </is>
      </c>
      <c r="F32" t="inlineStr">
        <is>
          <t>Allmännings- och besparingsskogar</t>
        </is>
      </c>
      <c r="G32" t="n">
        <v>5.3</v>
      </c>
      <c r="H32" t="n">
        <v>0</v>
      </c>
      <c r="I32" t="n">
        <v>0</v>
      </c>
      <c r="J32" t="n">
        <v>1</v>
      </c>
      <c r="K32" t="n">
        <v>0</v>
      </c>
      <c r="L32" t="n">
        <v>0</v>
      </c>
      <c r="M32" t="n">
        <v>0</v>
      </c>
      <c r="N32" t="n">
        <v>0</v>
      </c>
      <c r="O32" t="n">
        <v>1</v>
      </c>
      <c r="P32" t="n">
        <v>0</v>
      </c>
      <c r="Q32" t="n">
        <v>1</v>
      </c>
      <c r="R32" s="2" t="inlineStr">
        <is>
          <t>Motaggsvamp</t>
        </is>
      </c>
      <c r="S32">
        <f>HYPERLINK("https://klasma.github.io/Logging_0643/artfynd/A 44439-2023 artfynd.xlsx", "A 44439-2023")</f>
        <v/>
      </c>
      <c r="T32">
        <f>HYPERLINK("https://klasma.github.io/Logging_0643/kartor/A 44439-2023 karta.png", "A 44439-2023")</f>
        <v/>
      </c>
      <c r="V32">
        <f>HYPERLINK("https://klasma.github.io/Logging_0643/klagomål/A 44439-2023 FSC-klagomål.docx", "A 44439-2023")</f>
        <v/>
      </c>
      <c r="W32">
        <f>HYPERLINK("https://klasma.github.io/Logging_0643/klagomålsmail/A 44439-2023 FSC-klagomål mail.docx", "A 44439-2023")</f>
        <v/>
      </c>
      <c r="X32">
        <f>HYPERLINK("https://klasma.github.io/Logging_0643/tillsyn/A 44439-2023 tillsynsbegäran.docx", "A 44439-2023")</f>
        <v/>
      </c>
      <c r="Y32">
        <f>HYPERLINK("https://klasma.github.io/Logging_0643/tillsynsmail/A 44439-2023 tillsynsbegäran mail.docx", "A 44439-2023")</f>
        <v/>
      </c>
    </row>
    <row r="33" ht="15" customHeight="1">
      <c r="A33" t="inlineStr">
        <is>
          <t>A 35626-2022</t>
        </is>
      </c>
      <c r="B33" s="1" t="n">
        <v>44799</v>
      </c>
      <c r="C33" s="1" t="n">
        <v>46202</v>
      </c>
      <c r="D33" t="inlineStr">
        <is>
          <t>JÖNKÖPINGS LÄN</t>
        </is>
      </c>
      <c r="E33" t="inlineStr">
        <is>
          <t>HABO</t>
        </is>
      </c>
      <c r="F33" t="inlineStr">
        <is>
          <t>Kommuner</t>
        </is>
      </c>
      <c r="G33" t="n">
        <v>1.8</v>
      </c>
      <c r="H33" t="n">
        <v>0</v>
      </c>
      <c r="I33" t="n">
        <v>0</v>
      </c>
      <c r="J33" t="n">
        <v>0</v>
      </c>
      <c r="K33" t="n">
        <v>0</v>
      </c>
      <c r="L33" t="n">
        <v>1</v>
      </c>
      <c r="M33" t="n">
        <v>0</v>
      </c>
      <c r="N33" t="n">
        <v>0</v>
      </c>
      <c r="O33" t="n">
        <v>1</v>
      </c>
      <c r="P33" t="n">
        <v>1</v>
      </c>
      <c r="Q33" t="n">
        <v>1</v>
      </c>
      <c r="R33" s="2" t="inlineStr">
        <is>
          <t>Ask</t>
        </is>
      </c>
      <c r="S33">
        <f>HYPERLINK("https://klasma.github.io/Logging_0643/artfynd/A 35626-2022 artfynd.xlsx", "A 35626-2022")</f>
        <v/>
      </c>
      <c r="T33">
        <f>HYPERLINK("https://klasma.github.io/Logging_0643/kartor/A 35626-2022 karta.png", "A 35626-2022")</f>
        <v/>
      </c>
      <c r="V33">
        <f>HYPERLINK("https://klasma.github.io/Logging_0643/klagomål/A 35626-2022 FSC-klagomål.docx", "A 35626-2022")</f>
        <v/>
      </c>
      <c r="W33">
        <f>HYPERLINK("https://klasma.github.io/Logging_0643/klagomålsmail/A 35626-2022 FSC-klagomål mail.docx", "A 35626-2022")</f>
        <v/>
      </c>
      <c r="X33">
        <f>HYPERLINK("https://klasma.github.io/Logging_0643/tillsyn/A 35626-2022 tillsynsbegäran.docx", "A 35626-2022")</f>
        <v/>
      </c>
      <c r="Y33">
        <f>HYPERLINK("https://klasma.github.io/Logging_0643/tillsynsmail/A 35626-2022 tillsynsbegäran mail.docx", "A 35626-2022")</f>
        <v/>
      </c>
    </row>
    <row r="34" ht="15" customHeight="1">
      <c r="A34" t="inlineStr">
        <is>
          <t>A 38055-2025</t>
        </is>
      </c>
      <c r="B34" s="1" t="n">
        <v>45882</v>
      </c>
      <c r="C34" s="1" t="n">
        <v>46202</v>
      </c>
      <c r="D34" t="inlineStr">
        <is>
          <t>JÖNKÖPINGS LÄN</t>
        </is>
      </c>
      <c r="E34" t="inlineStr">
        <is>
          <t>HABO</t>
        </is>
      </c>
      <c r="F34" t="inlineStr">
        <is>
          <t>Allmännings- och besparingsskogar</t>
        </is>
      </c>
      <c r="G34" t="n">
        <v>8.199999999999999</v>
      </c>
      <c r="H34" t="n">
        <v>0</v>
      </c>
      <c r="I34" t="n">
        <v>1</v>
      </c>
      <c r="J34" t="n">
        <v>0</v>
      </c>
      <c r="K34" t="n">
        <v>0</v>
      </c>
      <c r="L34" t="n">
        <v>0</v>
      </c>
      <c r="M34" t="n">
        <v>0</v>
      </c>
      <c r="N34" t="n">
        <v>0</v>
      </c>
      <c r="O34" t="n">
        <v>0</v>
      </c>
      <c r="P34" t="n">
        <v>0</v>
      </c>
      <c r="Q34" t="n">
        <v>1</v>
      </c>
      <c r="R34" s="2" t="inlineStr">
        <is>
          <t>Mindre märgborre</t>
        </is>
      </c>
      <c r="S34">
        <f>HYPERLINK("https://klasma.github.io/Logging_0643/artfynd/A 38055-2025 artfynd.xlsx", "A 38055-2025")</f>
        <v/>
      </c>
      <c r="T34">
        <f>HYPERLINK("https://klasma.github.io/Logging_0643/kartor/A 38055-2025 karta.png", "A 38055-2025")</f>
        <v/>
      </c>
      <c r="V34">
        <f>HYPERLINK("https://klasma.github.io/Logging_0643/klagomål/A 38055-2025 FSC-klagomål.docx", "A 38055-2025")</f>
        <v/>
      </c>
      <c r="W34">
        <f>HYPERLINK("https://klasma.github.io/Logging_0643/klagomålsmail/A 38055-2025 FSC-klagomål mail.docx", "A 38055-2025")</f>
        <v/>
      </c>
      <c r="X34">
        <f>HYPERLINK("https://klasma.github.io/Logging_0643/tillsyn/A 38055-2025 tillsynsbegäran.docx", "A 38055-2025")</f>
        <v/>
      </c>
      <c r="Y34">
        <f>HYPERLINK("https://klasma.github.io/Logging_0643/tillsynsmail/A 38055-2025 tillsynsbegäran mail.docx", "A 38055-2025")</f>
        <v/>
      </c>
    </row>
    <row r="35" ht="15" customHeight="1">
      <c r="A35" t="inlineStr">
        <is>
          <t>A 35115-2021</t>
        </is>
      </c>
      <c r="B35" s="1" t="n">
        <v>44384</v>
      </c>
      <c r="C35" s="1" t="n">
        <v>46202</v>
      </c>
      <c r="D35" t="inlineStr">
        <is>
          <t>JÖNKÖPINGS LÄN</t>
        </is>
      </c>
      <c r="E35" t="inlineStr">
        <is>
          <t>HABO</t>
        </is>
      </c>
      <c r="G35" t="n">
        <v>8.4</v>
      </c>
      <c r="H35" t="n">
        <v>1</v>
      </c>
      <c r="I35" t="n">
        <v>0</v>
      </c>
      <c r="J35" t="n">
        <v>1</v>
      </c>
      <c r="K35" t="n">
        <v>0</v>
      </c>
      <c r="L35" t="n">
        <v>0</v>
      </c>
      <c r="M35" t="n">
        <v>0</v>
      </c>
      <c r="N35" t="n">
        <v>0</v>
      </c>
      <c r="O35" t="n">
        <v>1</v>
      </c>
      <c r="P35" t="n">
        <v>0</v>
      </c>
      <c r="Q35" t="n">
        <v>1</v>
      </c>
      <c r="R35" s="2" t="inlineStr">
        <is>
          <t>Grönsångare</t>
        </is>
      </c>
      <c r="S35">
        <f>HYPERLINK("https://klasma.github.io/Logging_0643/artfynd/A 35115-2021 artfynd.xlsx", "A 35115-2021")</f>
        <v/>
      </c>
      <c r="T35">
        <f>HYPERLINK("https://klasma.github.io/Logging_0643/kartor/A 35115-2021 karta.png", "A 35115-2021")</f>
        <v/>
      </c>
      <c r="V35">
        <f>HYPERLINK("https://klasma.github.io/Logging_0643/klagomål/A 35115-2021 FSC-klagomål.docx", "A 35115-2021")</f>
        <v/>
      </c>
      <c r="W35">
        <f>HYPERLINK("https://klasma.github.io/Logging_0643/klagomålsmail/A 35115-2021 FSC-klagomål mail.docx", "A 35115-2021")</f>
        <v/>
      </c>
      <c r="X35">
        <f>HYPERLINK("https://klasma.github.io/Logging_0643/tillsyn/A 35115-2021 tillsynsbegäran.docx", "A 35115-2021")</f>
        <v/>
      </c>
      <c r="Y35">
        <f>HYPERLINK("https://klasma.github.io/Logging_0643/tillsynsmail/A 35115-2021 tillsynsbegäran mail.docx", "A 35115-2021")</f>
        <v/>
      </c>
      <c r="Z35">
        <f>HYPERLINK("https://klasma.github.io/Logging_0643/fåglar/A 35115-2021 prioriterade fågelarter.docx", "A 35115-2021")</f>
        <v/>
      </c>
    </row>
    <row r="36" ht="15" customHeight="1">
      <c r="A36" t="inlineStr">
        <is>
          <t>A 48348-2025</t>
        </is>
      </c>
      <c r="B36" s="1" t="n">
        <v>45933</v>
      </c>
      <c r="C36" s="1" t="n">
        <v>46202</v>
      </c>
      <c r="D36" t="inlineStr">
        <is>
          <t>JÖNKÖPINGS LÄN</t>
        </is>
      </c>
      <c r="E36" t="inlineStr">
        <is>
          <t>HABO</t>
        </is>
      </c>
      <c r="G36" t="n">
        <v>9.4</v>
      </c>
      <c r="H36" t="n">
        <v>1</v>
      </c>
      <c r="I36" t="n">
        <v>0</v>
      </c>
      <c r="J36" t="n">
        <v>1</v>
      </c>
      <c r="K36" t="n">
        <v>0</v>
      </c>
      <c r="L36" t="n">
        <v>0</v>
      </c>
      <c r="M36" t="n">
        <v>0</v>
      </c>
      <c r="N36" t="n">
        <v>0</v>
      </c>
      <c r="O36" t="n">
        <v>1</v>
      </c>
      <c r="P36" t="n">
        <v>0</v>
      </c>
      <c r="Q36" t="n">
        <v>1</v>
      </c>
      <c r="R36" s="2" t="inlineStr">
        <is>
          <t>Nordfladdermus</t>
        </is>
      </c>
      <c r="S36">
        <f>HYPERLINK("https://klasma.github.io/Logging_0643/artfynd/A 48348-2025 artfynd.xlsx", "A 48348-2025")</f>
        <v/>
      </c>
      <c r="T36">
        <f>HYPERLINK("https://klasma.github.io/Logging_0643/kartor/A 48348-2025 karta.png", "A 48348-2025")</f>
        <v/>
      </c>
      <c r="V36">
        <f>HYPERLINK("https://klasma.github.io/Logging_0643/klagomål/A 48348-2025 FSC-klagomål.docx", "A 48348-2025")</f>
        <v/>
      </c>
      <c r="W36">
        <f>HYPERLINK("https://klasma.github.io/Logging_0643/klagomålsmail/A 48348-2025 FSC-klagomål mail.docx", "A 48348-2025")</f>
        <v/>
      </c>
      <c r="X36">
        <f>HYPERLINK("https://klasma.github.io/Logging_0643/tillsyn/A 48348-2025 tillsynsbegäran.docx", "A 48348-2025")</f>
        <v/>
      </c>
      <c r="Y36">
        <f>HYPERLINK("https://klasma.github.io/Logging_0643/tillsynsmail/A 48348-2025 tillsynsbegäran mail.docx", "A 48348-2025")</f>
        <v/>
      </c>
    </row>
    <row r="37" ht="15" customHeight="1">
      <c r="A37" t="inlineStr">
        <is>
          <t>A 58526-2025</t>
        </is>
      </c>
      <c r="B37" s="1" t="n">
        <v>45985</v>
      </c>
      <c r="C37" s="1" t="n">
        <v>46202</v>
      </c>
      <c r="D37" t="inlineStr">
        <is>
          <t>JÖNKÖPINGS LÄN</t>
        </is>
      </c>
      <c r="E37" t="inlineStr">
        <is>
          <t>HABO</t>
        </is>
      </c>
      <c r="F37" t="inlineStr">
        <is>
          <t>Sveaskog</t>
        </is>
      </c>
      <c r="G37" t="n">
        <v>8.300000000000001</v>
      </c>
      <c r="H37" t="n">
        <v>0</v>
      </c>
      <c r="I37" t="n">
        <v>0</v>
      </c>
      <c r="J37" t="n">
        <v>1</v>
      </c>
      <c r="K37" t="n">
        <v>0</v>
      </c>
      <c r="L37" t="n">
        <v>0</v>
      </c>
      <c r="M37" t="n">
        <v>0</v>
      </c>
      <c r="N37" t="n">
        <v>0</v>
      </c>
      <c r="O37" t="n">
        <v>1</v>
      </c>
      <c r="P37" t="n">
        <v>0</v>
      </c>
      <c r="Q37" t="n">
        <v>1</v>
      </c>
      <c r="R37" s="2" t="inlineStr">
        <is>
          <t>Tallticka</t>
        </is>
      </c>
      <c r="S37">
        <f>HYPERLINK("https://klasma.github.io/Logging_0643/artfynd/A 58526-2025 artfynd.xlsx", "A 58526-2025")</f>
        <v/>
      </c>
      <c r="T37">
        <f>HYPERLINK("https://klasma.github.io/Logging_0643/kartor/A 58526-2025 karta.png", "A 58526-2025")</f>
        <v/>
      </c>
      <c r="V37">
        <f>HYPERLINK("https://klasma.github.io/Logging_0643/klagomål/A 58526-2025 FSC-klagomål.docx", "A 58526-2025")</f>
        <v/>
      </c>
      <c r="W37">
        <f>HYPERLINK("https://klasma.github.io/Logging_0643/klagomålsmail/A 58526-2025 FSC-klagomål mail.docx", "A 58526-2025")</f>
        <v/>
      </c>
      <c r="X37">
        <f>HYPERLINK("https://klasma.github.io/Logging_0643/tillsyn/A 58526-2025 tillsynsbegäran.docx", "A 58526-2025")</f>
        <v/>
      </c>
      <c r="Y37">
        <f>HYPERLINK("https://klasma.github.io/Logging_0643/tillsynsmail/A 58526-2025 tillsynsbegäran mail.docx", "A 58526-2025")</f>
        <v/>
      </c>
    </row>
    <row r="38" ht="15" customHeight="1">
      <c r="A38" t="inlineStr">
        <is>
          <t>A 26520-2025</t>
        </is>
      </c>
      <c r="B38" s="1" t="n">
        <v>45807</v>
      </c>
      <c r="C38" s="1" t="n">
        <v>46202</v>
      </c>
      <c r="D38" t="inlineStr">
        <is>
          <t>JÖNKÖPINGS LÄN</t>
        </is>
      </c>
      <c r="E38" t="inlineStr">
        <is>
          <t>HABO</t>
        </is>
      </c>
      <c r="G38" t="n">
        <v>1.1</v>
      </c>
      <c r="H38" t="n">
        <v>0</v>
      </c>
      <c r="I38" t="n">
        <v>0</v>
      </c>
      <c r="J38" t="n">
        <v>1</v>
      </c>
      <c r="K38" t="n">
        <v>0</v>
      </c>
      <c r="L38" t="n">
        <v>0</v>
      </c>
      <c r="M38" t="n">
        <v>0</v>
      </c>
      <c r="N38" t="n">
        <v>0</v>
      </c>
      <c r="O38" t="n">
        <v>1</v>
      </c>
      <c r="P38" t="n">
        <v>0</v>
      </c>
      <c r="Q38" t="n">
        <v>1</v>
      </c>
      <c r="R38" s="2" t="inlineStr">
        <is>
          <t>Dunmossa</t>
        </is>
      </c>
      <c r="S38">
        <f>HYPERLINK("https://klasma.github.io/Logging_0643/artfynd/A 26520-2025 artfynd.xlsx", "A 26520-2025")</f>
        <v/>
      </c>
      <c r="T38">
        <f>HYPERLINK("https://klasma.github.io/Logging_0643/kartor/A 26520-2025 karta.png", "A 26520-2025")</f>
        <v/>
      </c>
      <c r="V38">
        <f>HYPERLINK("https://klasma.github.io/Logging_0643/klagomål/A 26520-2025 FSC-klagomål.docx", "A 26520-2025")</f>
        <v/>
      </c>
      <c r="W38">
        <f>HYPERLINK("https://klasma.github.io/Logging_0643/klagomålsmail/A 26520-2025 FSC-klagomål mail.docx", "A 26520-2025")</f>
        <v/>
      </c>
      <c r="X38">
        <f>HYPERLINK("https://klasma.github.io/Logging_0643/tillsyn/A 26520-2025 tillsynsbegäran.docx", "A 26520-2025")</f>
        <v/>
      </c>
      <c r="Y38">
        <f>HYPERLINK("https://klasma.github.io/Logging_0643/tillsynsmail/A 26520-2025 tillsynsbegäran mail.docx", "A 26520-2025")</f>
        <v/>
      </c>
    </row>
    <row r="39" ht="15" customHeight="1">
      <c r="A39" t="inlineStr">
        <is>
          <t>A 46078-2022</t>
        </is>
      </c>
      <c r="B39" s="1" t="n">
        <v>44847</v>
      </c>
      <c r="C39" s="1" t="n">
        <v>46202</v>
      </c>
      <c r="D39" t="inlineStr">
        <is>
          <t>JÖNKÖPINGS LÄN</t>
        </is>
      </c>
      <c r="E39" t="inlineStr">
        <is>
          <t>HABO</t>
        </is>
      </c>
      <c r="G39" t="n">
        <v>3.4</v>
      </c>
      <c r="H39" t="n">
        <v>0</v>
      </c>
      <c r="I39" t="n">
        <v>0</v>
      </c>
      <c r="J39" t="n">
        <v>0</v>
      </c>
      <c r="K39" t="n">
        <v>0</v>
      </c>
      <c r="L39" t="n">
        <v>0</v>
      </c>
      <c r="M39" t="n">
        <v>0</v>
      </c>
      <c r="N39" t="n">
        <v>0</v>
      </c>
      <c r="O39" t="n">
        <v>0</v>
      </c>
      <c r="P39" t="n">
        <v>0</v>
      </c>
      <c r="Q39" t="n">
        <v>0</v>
      </c>
      <c r="R39" s="2" t="inlineStr"/>
    </row>
    <row r="40" ht="15" customHeight="1">
      <c r="A40" t="inlineStr">
        <is>
          <t>A 68331-2021</t>
        </is>
      </c>
      <c r="B40" s="1" t="n">
        <v>44527</v>
      </c>
      <c r="C40" s="1" t="n">
        <v>46202</v>
      </c>
      <c r="D40" t="inlineStr">
        <is>
          <t>JÖNKÖPINGS LÄN</t>
        </is>
      </c>
      <c r="E40" t="inlineStr">
        <is>
          <t>HABO</t>
        </is>
      </c>
      <c r="G40" t="n">
        <v>0.4</v>
      </c>
      <c r="H40" t="n">
        <v>0</v>
      </c>
      <c r="I40" t="n">
        <v>0</v>
      </c>
      <c r="J40" t="n">
        <v>0</v>
      </c>
      <c r="K40" t="n">
        <v>0</v>
      </c>
      <c r="L40" t="n">
        <v>0</v>
      </c>
      <c r="M40" t="n">
        <v>0</v>
      </c>
      <c r="N40" t="n">
        <v>0</v>
      </c>
      <c r="O40" t="n">
        <v>0</v>
      </c>
      <c r="P40" t="n">
        <v>0</v>
      </c>
      <c r="Q40" t="n">
        <v>0</v>
      </c>
      <c r="R40" s="2" t="inlineStr"/>
    </row>
    <row r="41" ht="15" customHeight="1">
      <c r="A41" t="inlineStr">
        <is>
          <t>A 49577-2021</t>
        </is>
      </c>
      <c r="B41" s="1" t="n">
        <v>44455</v>
      </c>
      <c r="C41" s="1" t="n">
        <v>46202</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31112-2022</t>
        </is>
      </c>
      <c r="B42" s="1" t="n">
        <v>44769</v>
      </c>
      <c r="C42" s="1" t="n">
        <v>46202</v>
      </c>
      <c r="D42" t="inlineStr">
        <is>
          <t>JÖNKÖPINGS LÄN</t>
        </is>
      </c>
      <c r="E42" t="inlineStr">
        <is>
          <t>HABO</t>
        </is>
      </c>
      <c r="F42" t="inlineStr">
        <is>
          <t>Kyrkan</t>
        </is>
      </c>
      <c r="G42" t="n">
        <v>4.3</v>
      </c>
      <c r="H42" t="n">
        <v>0</v>
      </c>
      <c r="I42" t="n">
        <v>0</v>
      </c>
      <c r="J42" t="n">
        <v>0</v>
      </c>
      <c r="K42" t="n">
        <v>0</v>
      </c>
      <c r="L42" t="n">
        <v>0</v>
      </c>
      <c r="M42" t="n">
        <v>0</v>
      </c>
      <c r="N42" t="n">
        <v>0</v>
      </c>
      <c r="O42" t="n">
        <v>0</v>
      </c>
      <c r="P42" t="n">
        <v>0</v>
      </c>
      <c r="Q42" t="n">
        <v>0</v>
      </c>
      <c r="R42" s="2" t="inlineStr"/>
    </row>
    <row r="43" ht="15" customHeight="1">
      <c r="A43" t="inlineStr">
        <is>
          <t>A 45803-2022</t>
        </is>
      </c>
      <c r="B43" s="1" t="n">
        <v>44846</v>
      </c>
      <c r="C43" s="1" t="n">
        <v>46202</v>
      </c>
      <c r="D43" t="inlineStr">
        <is>
          <t>JÖNKÖPINGS LÄN</t>
        </is>
      </c>
      <c r="E43" t="inlineStr">
        <is>
          <t>HABO</t>
        </is>
      </c>
      <c r="G43" t="n">
        <v>0.7</v>
      </c>
      <c r="H43" t="n">
        <v>0</v>
      </c>
      <c r="I43" t="n">
        <v>0</v>
      </c>
      <c r="J43" t="n">
        <v>0</v>
      </c>
      <c r="K43" t="n">
        <v>0</v>
      </c>
      <c r="L43" t="n">
        <v>0</v>
      </c>
      <c r="M43" t="n">
        <v>0</v>
      </c>
      <c r="N43" t="n">
        <v>0</v>
      </c>
      <c r="O43" t="n">
        <v>0</v>
      </c>
      <c r="P43" t="n">
        <v>0</v>
      </c>
      <c r="Q43" t="n">
        <v>0</v>
      </c>
      <c r="R43" s="2" t="inlineStr"/>
    </row>
    <row r="44" ht="15" customHeight="1">
      <c r="A44" t="inlineStr">
        <is>
          <t>A 41217-2021</t>
        </is>
      </c>
      <c r="B44" s="1" t="n">
        <v>44424</v>
      </c>
      <c r="C44" s="1" t="n">
        <v>46202</v>
      </c>
      <c r="D44" t="inlineStr">
        <is>
          <t>JÖNKÖPINGS LÄN</t>
        </is>
      </c>
      <c r="E44" t="inlineStr">
        <is>
          <t>HABO</t>
        </is>
      </c>
      <c r="G44" t="n">
        <v>3.9</v>
      </c>
      <c r="H44" t="n">
        <v>0</v>
      </c>
      <c r="I44" t="n">
        <v>0</v>
      </c>
      <c r="J44" t="n">
        <v>0</v>
      </c>
      <c r="K44" t="n">
        <v>0</v>
      </c>
      <c r="L44" t="n">
        <v>0</v>
      </c>
      <c r="M44" t="n">
        <v>0</v>
      </c>
      <c r="N44" t="n">
        <v>0</v>
      </c>
      <c r="O44" t="n">
        <v>0</v>
      </c>
      <c r="P44" t="n">
        <v>0</v>
      </c>
      <c r="Q44" t="n">
        <v>0</v>
      </c>
      <c r="R44" s="2" t="inlineStr"/>
    </row>
    <row r="45" ht="15" customHeight="1">
      <c r="A45" t="inlineStr">
        <is>
          <t>A 48739-2022</t>
        </is>
      </c>
      <c r="B45" s="1" t="n">
        <v>44859</v>
      </c>
      <c r="C45" s="1" t="n">
        <v>46202</v>
      </c>
      <c r="D45" t="inlineStr">
        <is>
          <t>JÖNKÖPINGS LÄN</t>
        </is>
      </c>
      <c r="E45" t="inlineStr">
        <is>
          <t>HABO</t>
        </is>
      </c>
      <c r="G45" t="n">
        <v>0.2</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46202</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19570-2022</t>
        </is>
      </c>
      <c r="B47" s="1" t="n">
        <v>44693</v>
      </c>
      <c r="C47" s="1" t="n">
        <v>46202</v>
      </c>
      <c r="D47" t="inlineStr">
        <is>
          <t>JÖNKÖPINGS LÄN</t>
        </is>
      </c>
      <c r="E47" t="inlineStr">
        <is>
          <t>HABO</t>
        </is>
      </c>
      <c r="G47" t="n">
        <v>1.1</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46202</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12592-2022</t>
        </is>
      </c>
      <c r="B49" s="1" t="n">
        <v>44640</v>
      </c>
      <c r="C49" s="1" t="n">
        <v>46202</v>
      </c>
      <c r="D49" t="inlineStr">
        <is>
          <t>JÖNKÖPINGS LÄN</t>
        </is>
      </c>
      <c r="E49" t="inlineStr">
        <is>
          <t>HABO</t>
        </is>
      </c>
      <c r="G49" t="n">
        <v>1.7</v>
      </c>
      <c r="H49" t="n">
        <v>0</v>
      </c>
      <c r="I49" t="n">
        <v>0</v>
      </c>
      <c r="J49" t="n">
        <v>0</v>
      </c>
      <c r="K49" t="n">
        <v>0</v>
      </c>
      <c r="L49" t="n">
        <v>0</v>
      </c>
      <c r="M49" t="n">
        <v>0</v>
      </c>
      <c r="N49" t="n">
        <v>0</v>
      </c>
      <c r="O49" t="n">
        <v>0</v>
      </c>
      <c r="P49" t="n">
        <v>0</v>
      </c>
      <c r="Q49" t="n">
        <v>0</v>
      </c>
      <c r="R49" s="2" t="inlineStr"/>
    </row>
    <row r="50" ht="15" customHeight="1">
      <c r="A50" t="inlineStr">
        <is>
          <t>A 53301-2022</t>
        </is>
      </c>
      <c r="B50" s="1" t="n">
        <v>44877</v>
      </c>
      <c r="C50" s="1" t="n">
        <v>46202</v>
      </c>
      <c r="D50" t="inlineStr">
        <is>
          <t>JÖNKÖPINGS LÄN</t>
        </is>
      </c>
      <c r="E50" t="inlineStr">
        <is>
          <t>HABO</t>
        </is>
      </c>
      <c r="G50" t="n">
        <v>0.6</v>
      </c>
      <c r="H50" t="n">
        <v>0</v>
      </c>
      <c r="I50" t="n">
        <v>0</v>
      </c>
      <c r="J50" t="n">
        <v>0</v>
      </c>
      <c r="K50" t="n">
        <v>0</v>
      </c>
      <c r="L50" t="n">
        <v>0</v>
      </c>
      <c r="M50" t="n">
        <v>0</v>
      </c>
      <c r="N50" t="n">
        <v>0</v>
      </c>
      <c r="O50" t="n">
        <v>0</v>
      </c>
      <c r="P50" t="n">
        <v>0</v>
      </c>
      <c r="Q50" t="n">
        <v>0</v>
      </c>
      <c r="R50" s="2" t="inlineStr"/>
    </row>
    <row r="51" ht="15" customHeight="1">
      <c r="A51" t="inlineStr">
        <is>
          <t>A 41213-2021</t>
        </is>
      </c>
      <c r="B51" s="1" t="n">
        <v>44424</v>
      </c>
      <c r="C51" s="1" t="n">
        <v>46202</v>
      </c>
      <c r="D51" t="inlineStr">
        <is>
          <t>JÖNKÖPINGS LÄN</t>
        </is>
      </c>
      <c r="E51" t="inlineStr">
        <is>
          <t>HABO</t>
        </is>
      </c>
      <c r="G51" t="n">
        <v>2.1</v>
      </c>
      <c r="H51" t="n">
        <v>0</v>
      </c>
      <c r="I51" t="n">
        <v>0</v>
      </c>
      <c r="J51" t="n">
        <v>0</v>
      </c>
      <c r="K51" t="n">
        <v>0</v>
      </c>
      <c r="L51" t="n">
        <v>0</v>
      </c>
      <c r="M51" t="n">
        <v>0</v>
      </c>
      <c r="N51" t="n">
        <v>0</v>
      </c>
      <c r="O51" t="n">
        <v>0</v>
      </c>
      <c r="P51" t="n">
        <v>0</v>
      </c>
      <c r="Q51" t="n">
        <v>0</v>
      </c>
      <c r="R51" s="2" t="inlineStr"/>
    </row>
    <row r="52" ht="15" customHeight="1">
      <c r="A52" t="inlineStr">
        <is>
          <t>A 41216-2021</t>
        </is>
      </c>
      <c r="B52" s="1" t="n">
        <v>44424</v>
      </c>
      <c r="C52" s="1" t="n">
        <v>46202</v>
      </c>
      <c r="D52" t="inlineStr">
        <is>
          <t>JÖNKÖPINGS LÄN</t>
        </is>
      </c>
      <c r="E52" t="inlineStr">
        <is>
          <t>HABO</t>
        </is>
      </c>
      <c r="G52" t="n">
        <v>3</v>
      </c>
      <c r="H52" t="n">
        <v>0</v>
      </c>
      <c r="I52" t="n">
        <v>0</v>
      </c>
      <c r="J52" t="n">
        <v>0</v>
      </c>
      <c r="K52" t="n">
        <v>0</v>
      </c>
      <c r="L52" t="n">
        <v>0</v>
      </c>
      <c r="M52" t="n">
        <v>0</v>
      </c>
      <c r="N52" t="n">
        <v>0</v>
      </c>
      <c r="O52" t="n">
        <v>0</v>
      </c>
      <c r="P52" t="n">
        <v>0</v>
      </c>
      <c r="Q52" t="n">
        <v>0</v>
      </c>
      <c r="R52" s="2" t="inlineStr"/>
    </row>
    <row r="53" ht="15" customHeight="1">
      <c r="A53" t="inlineStr">
        <is>
          <t>A 42361-2021</t>
        </is>
      </c>
      <c r="B53" s="1" t="n">
        <v>44427</v>
      </c>
      <c r="C53" s="1" t="n">
        <v>46202</v>
      </c>
      <c r="D53" t="inlineStr">
        <is>
          <t>JÖNKÖPINGS LÄN</t>
        </is>
      </c>
      <c r="E53" t="inlineStr">
        <is>
          <t>HABO</t>
        </is>
      </c>
      <c r="G53" t="n">
        <v>5.7</v>
      </c>
      <c r="H53" t="n">
        <v>0</v>
      </c>
      <c r="I53" t="n">
        <v>0</v>
      </c>
      <c r="J53" t="n">
        <v>0</v>
      </c>
      <c r="K53" t="n">
        <v>0</v>
      </c>
      <c r="L53" t="n">
        <v>0</v>
      </c>
      <c r="M53" t="n">
        <v>0</v>
      </c>
      <c r="N53" t="n">
        <v>0</v>
      </c>
      <c r="O53" t="n">
        <v>0</v>
      </c>
      <c r="P53" t="n">
        <v>0</v>
      </c>
      <c r="Q53" t="n">
        <v>0</v>
      </c>
      <c r="R53" s="2" t="inlineStr"/>
    </row>
    <row r="54" ht="15" customHeight="1">
      <c r="A54" t="inlineStr">
        <is>
          <t>A 24701-2022</t>
        </is>
      </c>
      <c r="B54" s="1" t="n">
        <v>44727</v>
      </c>
      <c r="C54" s="1" t="n">
        <v>46202</v>
      </c>
      <c r="D54" t="inlineStr">
        <is>
          <t>JÖNKÖPINGS LÄN</t>
        </is>
      </c>
      <c r="E54" t="inlineStr">
        <is>
          <t>HABO</t>
        </is>
      </c>
      <c r="G54" t="n">
        <v>12.4</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46202</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61399-2021</t>
        </is>
      </c>
      <c r="B56" s="1" t="n">
        <v>44500</v>
      </c>
      <c r="C56" s="1" t="n">
        <v>46202</v>
      </c>
      <c r="D56" t="inlineStr">
        <is>
          <t>JÖNKÖPINGS LÄN</t>
        </is>
      </c>
      <c r="E56" t="inlineStr">
        <is>
          <t>HABO</t>
        </is>
      </c>
      <c r="G56" t="n">
        <v>0.3</v>
      </c>
      <c r="H56" t="n">
        <v>0</v>
      </c>
      <c r="I56" t="n">
        <v>0</v>
      </c>
      <c r="J56" t="n">
        <v>0</v>
      </c>
      <c r="K56" t="n">
        <v>0</v>
      </c>
      <c r="L56" t="n">
        <v>0</v>
      </c>
      <c r="M56" t="n">
        <v>0</v>
      </c>
      <c r="N56" t="n">
        <v>0</v>
      </c>
      <c r="O56" t="n">
        <v>0</v>
      </c>
      <c r="P56" t="n">
        <v>0</v>
      </c>
      <c r="Q56" t="n">
        <v>0</v>
      </c>
      <c r="R56" s="2" t="inlineStr"/>
    </row>
    <row r="57" ht="15" customHeight="1">
      <c r="A57" t="inlineStr">
        <is>
          <t>A 53914-2021</t>
        </is>
      </c>
      <c r="B57" s="1" t="n">
        <v>44469</v>
      </c>
      <c r="C57" s="1" t="n">
        <v>46202</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45684-2021</t>
        </is>
      </c>
      <c r="B58" s="1" t="n">
        <v>44441</v>
      </c>
      <c r="C58" s="1" t="n">
        <v>46202</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41622-2024</t>
        </is>
      </c>
      <c r="B59" s="1" t="n">
        <v>45560</v>
      </c>
      <c r="C59" s="1" t="n">
        <v>46202</v>
      </c>
      <c r="D59" t="inlineStr">
        <is>
          <t>JÖNKÖPINGS LÄN</t>
        </is>
      </c>
      <c r="E59" t="inlineStr">
        <is>
          <t>HABO</t>
        </is>
      </c>
      <c r="G59" t="n">
        <v>1.7</v>
      </c>
      <c r="H59" t="n">
        <v>0</v>
      </c>
      <c r="I59" t="n">
        <v>0</v>
      </c>
      <c r="J59" t="n">
        <v>0</v>
      </c>
      <c r="K59" t="n">
        <v>0</v>
      </c>
      <c r="L59" t="n">
        <v>0</v>
      </c>
      <c r="M59" t="n">
        <v>0</v>
      </c>
      <c r="N59" t="n">
        <v>0</v>
      </c>
      <c r="O59" t="n">
        <v>0</v>
      </c>
      <c r="P59" t="n">
        <v>0</v>
      </c>
      <c r="Q59" t="n">
        <v>0</v>
      </c>
      <c r="R59" s="2" t="inlineStr"/>
    </row>
    <row r="60" ht="15" customHeight="1">
      <c r="A60" t="inlineStr">
        <is>
          <t>A 29733-2023</t>
        </is>
      </c>
      <c r="B60" s="1" t="n">
        <v>45107</v>
      </c>
      <c r="C60" s="1" t="n">
        <v>46202</v>
      </c>
      <c r="D60" t="inlineStr">
        <is>
          <t>JÖNKÖPINGS LÄN</t>
        </is>
      </c>
      <c r="E60" t="inlineStr">
        <is>
          <t>HABO</t>
        </is>
      </c>
      <c r="G60" t="n">
        <v>0.3</v>
      </c>
      <c r="H60" t="n">
        <v>0</v>
      </c>
      <c r="I60" t="n">
        <v>0</v>
      </c>
      <c r="J60" t="n">
        <v>0</v>
      </c>
      <c r="K60" t="n">
        <v>0</v>
      </c>
      <c r="L60" t="n">
        <v>0</v>
      </c>
      <c r="M60" t="n">
        <v>0</v>
      </c>
      <c r="N60" t="n">
        <v>0</v>
      </c>
      <c r="O60" t="n">
        <v>0</v>
      </c>
      <c r="P60" t="n">
        <v>0</v>
      </c>
      <c r="Q60" t="n">
        <v>0</v>
      </c>
      <c r="R60" s="2" t="inlineStr"/>
    </row>
    <row r="61" ht="15" customHeight="1">
      <c r="A61" t="inlineStr">
        <is>
          <t>A 35574-2022</t>
        </is>
      </c>
      <c r="B61" s="1" t="n">
        <v>44799</v>
      </c>
      <c r="C61" s="1" t="n">
        <v>46202</v>
      </c>
      <c r="D61" t="inlineStr">
        <is>
          <t>JÖNKÖPINGS LÄN</t>
        </is>
      </c>
      <c r="E61" t="inlineStr">
        <is>
          <t>HABO</t>
        </is>
      </c>
      <c r="G61" t="n">
        <v>3.3</v>
      </c>
      <c r="H61" t="n">
        <v>0</v>
      </c>
      <c r="I61" t="n">
        <v>0</v>
      </c>
      <c r="J61" t="n">
        <v>0</v>
      </c>
      <c r="K61" t="n">
        <v>0</v>
      </c>
      <c r="L61" t="n">
        <v>0</v>
      </c>
      <c r="M61" t="n">
        <v>0</v>
      </c>
      <c r="N61" t="n">
        <v>0</v>
      </c>
      <c r="O61" t="n">
        <v>0</v>
      </c>
      <c r="P61" t="n">
        <v>0</v>
      </c>
      <c r="Q61" t="n">
        <v>0</v>
      </c>
      <c r="R61" s="2" t="inlineStr"/>
    </row>
    <row r="62" ht="15" customHeight="1">
      <c r="A62" t="inlineStr">
        <is>
          <t>A 27795-2024</t>
        </is>
      </c>
      <c r="B62" s="1" t="n">
        <v>45475</v>
      </c>
      <c r="C62" s="1" t="n">
        <v>46202</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41226-2021</t>
        </is>
      </c>
      <c r="B63" s="1" t="n">
        <v>44424</v>
      </c>
      <c r="C63" s="1" t="n">
        <v>46202</v>
      </c>
      <c r="D63" t="inlineStr">
        <is>
          <t>JÖNKÖPINGS LÄN</t>
        </is>
      </c>
      <c r="E63" t="inlineStr">
        <is>
          <t>HABO</t>
        </is>
      </c>
      <c r="G63" t="n">
        <v>0.5</v>
      </c>
      <c r="H63" t="n">
        <v>0</v>
      </c>
      <c r="I63" t="n">
        <v>0</v>
      </c>
      <c r="J63" t="n">
        <v>0</v>
      </c>
      <c r="K63" t="n">
        <v>0</v>
      </c>
      <c r="L63" t="n">
        <v>0</v>
      </c>
      <c r="M63" t="n">
        <v>0</v>
      </c>
      <c r="N63" t="n">
        <v>0</v>
      </c>
      <c r="O63" t="n">
        <v>0</v>
      </c>
      <c r="P63" t="n">
        <v>0</v>
      </c>
      <c r="Q63" t="n">
        <v>0</v>
      </c>
      <c r="R63" s="2" t="inlineStr"/>
    </row>
    <row r="64" ht="15" customHeight="1">
      <c r="A64" t="inlineStr">
        <is>
          <t>A 10432-2022</t>
        </is>
      </c>
      <c r="B64" s="1" t="n">
        <v>44623</v>
      </c>
      <c r="C64" s="1" t="n">
        <v>46202</v>
      </c>
      <c r="D64" t="inlineStr">
        <is>
          <t>JÖNKÖPINGS LÄN</t>
        </is>
      </c>
      <c r="E64" t="inlineStr">
        <is>
          <t>HABO</t>
        </is>
      </c>
      <c r="G64" t="n">
        <v>1.6</v>
      </c>
      <c r="H64" t="n">
        <v>0</v>
      </c>
      <c r="I64" t="n">
        <v>0</v>
      </c>
      <c r="J64" t="n">
        <v>0</v>
      </c>
      <c r="K64" t="n">
        <v>0</v>
      </c>
      <c r="L64" t="n">
        <v>0</v>
      </c>
      <c r="M64" t="n">
        <v>0</v>
      </c>
      <c r="N64" t="n">
        <v>0</v>
      </c>
      <c r="O64" t="n">
        <v>0</v>
      </c>
      <c r="P64" t="n">
        <v>0</v>
      </c>
      <c r="Q64" t="n">
        <v>0</v>
      </c>
      <c r="R64" s="2" t="inlineStr"/>
    </row>
    <row r="65" ht="15" customHeight="1">
      <c r="A65" t="inlineStr">
        <is>
          <t>A 54288-2024</t>
        </is>
      </c>
      <c r="B65" s="1" t="n">
        <v>45617</v>
      </c>
      <c r="C65" s="1" t="n">
        <v>46202</v>
      </c>
      <c r="D65" t="inlineStr">
        <is>
          <t>JÖNKÖPINGS LÄN</t>
        </is>
      </c>
      <c r="E65" t="inlineStr">
        <is>
          <t>HABO</t>
        </is>
      </c>
      <c r="G65" t="n">
        <v>1.8</v>
      </c>
      <c r="H65" t="n">
        <v>0</v>
      </c>
      <c r="I65" t="n">
        <v>0</v>
      </c>
      <c r="J65" t="n">
        <v>0</v>
      </c>
      <c r="K65" t="n">
        <v>0</v>
      </c>
      <c r="L65" t="n">
        <v>0</v>
      </c>
      <c r="M65" t="n">
        <v>0</v>
      </c>
      <c r="N65" t="n">
        <v>0</v>
      </c>
      <c r="O65" t="n">
        <v>0</v>
      </c>
      <c r="P65" t="n">
        <v>0</v>
      </c>
      <c r="Q65" t="n">
        <v>0</v>
      </c>
      <c r="R65" s="2" t="inlineStr"/>
    </row>
    <row r="66" ht="15" customHeight="1">
      <c r="A66" t="inlineStr">
        <is>
          <t>A 49673-2023</t>
        </is>
      </c>
      <c r="B66" s="1" t="n">
        <v>45212</v>
      </c>
      <c r="C66" s="1" t="n">
        <v>46202</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32539-2023</t>
        </is>
      </c>
      <c r="B67" s="1" t="n">
        <v>45121</v>
      </c>
      <c r="C67" s="1" t="n">
        <v>46202</v>
      </c>
      <c r="D67" t="inlineStr">
        <is>
          <t>JÖNKÖPINGS LÄN</t>
        </is>
      </c>
      <c r="E67" t="inlineStr">
        <is>
          <t>HABO</t>
        </is>
      </c>
      <c r="G67" t="n">
        <v>1.4</v>
      </c>
      <c r="H67" t="n">
        <v>0</v>
      </c>
      <c r="I67" t="n">
        <v>0</v>
      </c>
      <c r="J67" t="n">
        <v>0</v>
      </c>
      <c r="K67" t="n">
        <v>0</v>
      </c>
      <c r="L67" t="n">
        <v>0</v>
      </c>
      <c r="M67" t="n">
        <v>0</v>
      </c>
      <c r="N67" t="n">
        <v>0</v>
      </c>
      <c r="O67" t="n">
        <v>0</v>
      </c>
      <c r="P67" t="n">
        <v>0</v>
      </c>
      <c r="Q67" t="n">
        <v>0</v>
      </c>
      <c r="R67" s="2" t="inlineStr"/>
    </row>
    <row r="68" ht="15" customHeight="1">
      <c r="A68" t="inlineStr">
        <is>
          <t>A 36036-2023</t>
        </is>
      </c>
      <c r="B68" s="1" t="n">
        <v>45149</v>
      </c>
      <c r="C68" s="1" t="n">
        <v>46202</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28810-2022</t>
        </is>
      </c>
      <c r="B69" s="1" t="n">
        <v>44749</v>
      </c>
      <c r="C69" s="1" t="n">
        <v>46202</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28821-2022</t>
        </is>
      </c>
      <c r="B70" s="1" t="n">
        <v>44749</v>
      </c>
      <c r="C70" s="1" t="n">
        <v>46202</v>
      </c>
      <c r="D70" t="inlineStr">
        <is>
          <t>JÖNKÖPINGS LÄN</t>
        </is>
      </c>
      <c r="E70" t="inlineStr">
        <is>
          <t>HABO</t>
        </is>
      </c>
      <c r="G70" t="n">
        <v>3.2</v>
      </c>
      <c r="H70" t="n">
        <v>0</v>
      </c>
      <c r="I70" t="n">
        <v>0</v>
      </c>
      <c r="J70" t="n">
        <v>0</v>
      </c>
      <c r="K70" t="n">
        <v>0</v>
      </c>
      <c r="L70" t="n">
        <v>0</v>
      </c>
      <c r="M70" t="n">
        <v>0</v>
      </c>
      <c r="N70" t="n">
        <v>0</v>
      </c>
      <c r="O70" t="n">
        <v>0</v>
      </c>
      <c r="P70" t="n">
        <v>0</v>
      </c>
      <c r="Q70" t="n">
        <v>0</v>
      </c>
      <c r="R70" s="2" t="inlineStr"/>
    </row>
    <row r="71" ht="15" customHeight="1">
      <c r="A71" t="inlineStr">
        <is>
          <t>A 16149-2025</t>
        </is>
      </c>
      <c r="B71" s="1" t="n">
        <v>45750</v>
      </c>
      <c r="C71" s="1" t="n">
        <v>46202</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62745-2023</t>
        </is>
      </c>
      <c r="B72" s="1" t="n">
        <v>45271</v>
      </c>
      <c r="C72" s="1" t="n">
        <v>46202</v>
      </c>
      <c r="D72" t="inlineStr">
        <is>
          <t>JÖNKÖPINGS LÄN</t>
        </is>
      </c>
      <c r="E72" t="inlineStr">
        <is>
          <t>HABO</t>
        </is>
      </c>
      <c r="G72" t="n">
        <v>3.8</v>
      </c>
      <c r="H72" t="n">
        <v>0</v>
      </c>
      <c r="I72" t="n">
        <v>0</v>
      </c>
      <c r="J72" t="n">
        <v>0</v>
      </c>
      <c r="K72" t="n">
        <v>0</v>
      </c>
      <c r="L72" t="n">
        <v>0</v>
      </c>
      <c r="M72" t="n">
        <v>0</v>
      </c>
      <c r="N72" t="n">
        <v>0</v>
      </c>
      <c r="O72" t="n">
        <v>0</v>
      </c>
      <c r="P72" t="n">
        <v>0</v>
      </c>
      <c r="Q72" t="n">
        <v>0</v>
      </c>
      <c r="R72" s="2" t="inlineStr"/>
    </row>
    <row r="73" ht="15" customHeight="1">
      <c r="A73" t="inlineStr">
        <is>
          <t>A 16509-2023</t>
        </is>
      </c>
      <c r="B73" s="1" t="n">
        <v>45029</v>
      </c>
      <c r="C73" s="1" t="n">
        <v>46202</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58673-2024</t>
        </is>
      </c>
      <c r="B74" s="1" t="n">
        <v>45635</v>
      </c>
      <c r="C74" s="1" t="n">
        <v>46202</v>
      </c>
      <c r="D74" t="inlineStr">
        <is>
          <t>JÖNKÖPINGS LÄN</t>
        </is>
      </c>
      <c r="E74" t="inlineStr">
        <is>
          <t>HABO</t>
        </is>
      </c>
      <c r="G74" t="n">
        <v>0.4</v>
      </c>
      <c r="H74" t="n">
        <v>0</v>
      </c>
      <c r="I74" t="n">
        <v>0</v>
      </c>
      <c r="J74" t="n">
        <v>0</v>
      </c>
      <c r="K74" t="n">
        <v>0</v>
      </c>
      <c r="L74" t="n">
        <v>0</v>
      </c>
      <c r="M74" t="n">
        <v>0</v>
      </c>
      <c r="N74" t="n">
        <v>0</v>
      </c>
      <c r="O74" t="n">
        <v>0</v>
      </c>
      <c r="P74" t="n">
        <v>0</v>
      </c>
      <c r="Q74" t="n">
        <v>0</v>
      </c>
      <c r="R74" s="2" t="inlineStr"/>
    </row>
    <row r="75" ht="15" customHeight="1">
      <c r="A75" t="inlineStr">
        <is>
          <t>A 30350-2023</t>
        </is>
      </c>
      <c r="B75" s="1" t="n">
        <v>45111</v>
      </c>
      <c r="C75" s="1" t="n">
        <v>46202</v>
      </c>
      <c r="D75" t="inlineStr">
        <is>
          <t>JÖNKÖPINGS LÄN</t>
        </is>
      </c>
      <c r="E75" t="inlineStr">
        <is>
          <t>HABO</t>
        </is>
      </c>
      <c r="G75" t="n">
        <v>2</v>
      </c>
      <c r="H75" t="n">
        <v>0</v>
      </c>
      <c r="I75" t="n">
        <v>0</v>
      </c>
      <c r="J75" t="n">
        <v>0</v>
      </c>
      <c r="K75" t="n">
        <v>0</v>
      </c>
      <c r="L75" t="n">
        <v>0</v>
      </c>
      <c r="M75" t="n">
        <v>0</v>
      </c>
      <c r="N75" t="n">
        <v>0</v>
      </c>
      <c r="O75" t="n">
        <v>0</v>
      </c>
      <c r="P75" t="n">
        <v>0</v>
      </c>
      <c r="Q75" t="n">
        <v>0</v>
      </c>
      <c r="R75" s="2" t="inlineStr"/>
    </row>
    <row r="76" ht="15" customHeight="1">
      <c r="A76" t="inlineStr">
        <is>
          <t>A 26212-2023</t>
        </is>
      </c>
      <c r="B76" s="1" t="n">
        <v>45091</v>
      </c>
      <c r="C76" s="1" t="n">
        <v>46202</v>
      </c>
      <c r="D76" t="inlineStr">
        <is>
          <t>JÖNKÖPINGS LÄN</t>
        </is>
      </c>
      <c r="E76" t="inlineStr">
        <is>
          <t>HABO</t>
        </is>
      </c>
      <c r="G76" t="n">
        <v>3.9</v>
      </c>
      <c r="H76" t="n">
        <v>0</v>
      </c>
      <c r="I76" t="n">
        <v>0</v>
      </c>
      <c r="J76" t="n">
        <v>0</v>
      </c>
      <c r="K76" t="n">
        <v>0</v>
      </c>
      <c r="L76" t="n">
        <v>0</v>
      </c>
      <c r="M76" t="n">
        <v>0</v>
      </c>
      <c r="N76" t="n">
        <v>0</v>
      </c>
      <c r="O76" t="n">
        <v>0</v>
      </c>
      <c r="P76" t="n">
        <v>0</v>
      </c>
      <c r="Q76" t="n">
        <v>0</v>
      </c>
      <c r="R76" s="2" t="inlineStr"/>
    </row>
    <row r="77" ht="15" customHeight="1">
      <c r="A77" t="inlineStr">
        <is>
          <t>A 272-2025</t>
        </is>
      </c>
      <c r="B77" s="1" t="n">
        <v>45660</v>
      </c>
      <c r="C77" s="1" t="n">
        <v>46202</v>
      </c>
      <c r="D77" t="inlineStr">
        <is>
          <t>JÖNKÖPINGS LÄN</t>
        </is>
      </c>
      <c r="E77" t="inlineStr">
        <is>
          <t>HABO</t>
        </is>
      </c>
      <c r="G77" t="n">
        <v>0.7</v>
      </c>
      <c r="H77" t="n">
        <v>0</v>
      </c>
      <c r="I77" t="n">
        <v>0</v>
      </c>
      <c r="J77" t="n">
        <v>0</v>
      </c>
      <c r="K77" t="n">
        <v>0</v>
      </c>
      <c r="L77" t="n">
        <v>0</v>
      </c>
      <c r="M77" t="n">
        <v>0</v>
      </c>
      <c r="N77" t="n">
        <v>0</v>
      </c>
      <c r="O77" t="n">
        <v>0</v>
      </c>
      <c r="P77" t="n">
        <v>0</v>
      </c>
      <c r="Q77" t="n">
        <v>0</v>
      </c>
      <c r="R77" s="2" t="inlineStr"/>
    </row>
    <row r="78" ht="15" customHeight="1">
      <c r="A78" t="inlineStr">
        <is>
          <t>A 59917-2024</t>
        </is>
      </c>
      <c r="B78" s="1" t="n">
        <v>45641</v>
      </c>
      <c r="C78" s="1" t="n">
        <v>46202</v>
      </c>
      <c r="D78" t="inlineStr">
        <is>
          <t>JÖNKÖPINGS LÄN</t>
        </is>
      </c>
      <c r="E78" t="inlineStr">
        <is>
          <t>HABO</t>
        </is>
      </c>
      <c r="G78" t="n">
        <v>3.8</v>
      </c>
      <c r="H78" t="n">
        <v>0</v>
      </c>
      <c r="I78" t="n">
        <v>0</v>
      </c>
      <c r="J78" t="n">
        <v>0</v>
      </c>
      <c r="K78" t="n">
        <v>0</v>
      </c>
      <c r="L78" t="n">
        <v>0</v>
      </c>
      <c r="M78" t="n">
        <v>0</v>
      </c>
      <c r="N78" t="n">
        <v>0</v>
      </c>
      <c r="O78" t="n">
        <v>0</v>
      </c>
      <c r="P78" t="n">
        <v>0</v>
      </c>
      <c r="Q78" t="n">
        <v>0</v>
      </c>
      <c r="R78" s="2" t="inlineStr"/>
    </row>
    <row r="79" ht="15" customHeight="1">
      <c r="A79" t="inlineStr">
        <is>
          <t>A 26202-2023</t>
        </is>
      </c>
      <c r="B79" s="1" t="n">
        <v>45091</v>
      </c>
      <c r="C79" s="1" t="n">
        <v>46202</v>
      </c>
      <c r="D79" t="inlineStr">
        <is>
          <t>JÖNKÖPINGS LÄN</t>
        </is>
      </c>
      <c r="E79" t="inlineStr">
        <is>
          <t>HABO</t>
        </is>
      </c>
      <c r="G79" t="n">
        <v>0.2</v>
      </c>
      <c r="H79" t="n">
        <v>0</v>
      </c>
      <c r="I79" t="n">
        <v>0</v>
      </c>
      <c r="J79" t="n">
        <v>0</v>
      </c>
      <c r="K79" t="n">
        <v>0</v>
      </c>
      <c r="L79" t="n">
        <v>0</v>
      </c>
      <c r="M79" t="n">
        <v>0</v>
      </c>
      <c r="N79" t="n">
        <v>0</v>
      </c>
      <c r="O79" t="n">
        <v>0</v>
      </c>
      <c r="P79" t="n">
        <v>0</v>
      </c>
      <c r="Q79" t="n">
        <v>0</v>
      </c>
      <c r="R79" s="2" t="inlineStr"/>
    </row>
    <row r="80" ht="15" customHeight="1">
      <c r="A80" t="inlineStr">
        <is>
          <t>A 6229-2025</t>
        </is>
      </c>
      <c r="B80" s="1" t="n">
        <v>45698</v>
      </c>
      <c r="C80" s="1" t="n">
        <v>46202</v>
      </c>
      <c r="D80" t="inlineStr">
        <is>
          <t>JÖNKÖPINGS LÄN</t>
        </is>
      </c>
      <c r="E80" t="inlineStr">
        <is>
          <t>HABO</t>
        </is>
      </c>
      <c r="G80" t="n">
        <v>2.5</v>
      </c>
      <c r="H80" t="n">
        <v>0</v>
      </c>
      <c r="I80" t="n">
        <v>0</v>
      </c>
      <c r="J80" t="n">
        <v>0</v>
      </c>
      <c r="K80" t="n">
        <v>0</v>
      </c>
      <c r="L80" t="n">
        <v>0</v>
      </c>
      <c r="M80" t="n">
        <v>0</v>
      </c>
      <c r="N80" t="n">
        <v>0</v>
      </c>
      <c r="O80" t="n">
        <v>0</v>
      </c>
      <c r="P80" t="n">
        <v>0</v>
      </c>
      <c r="Q80" t="n">
        <v>0</v>
      </c>
      <c r="R80" s="2" t="inlineStr"/>
    </row>
    <row r="81" ht="15" customHeight="1">
      <c r="A81" t="inlineStr">
        <is>
          <t>A 59440-2024</t>
        </is>
      </c>
      <c r="B81" s="1" t="n">
        <v>45638</v>
      </c>
      <c r="C81" s="1" t="n">
        <v>46202</v>
      </c>
      <c r="D81" t="inlineStr">
        <is>
          <t>JÖNKÖPINGS LÄN</t>
        </is>
      </c>
      <c r="E81" t="inlineStr">
        <is>
          <t>HABO</t>
        </is>
      </c>
      <c r="G81" t="n">
        <v>1</v>
      </c>
      <c r="H81" t="n">
        <v>0</v>
      </c>
      <c r="I81" t="n">
        <v>0</v>
      </c>
      <c r="J81" t="n">
        <v>0</v>
      </c>
      <c r="K81" t="n">
        <v>0</v>
      </c>
      <c r="L81" t="n">
        <v>0</v>
      </c>
      <c r="M81" t="n">
        <v>0</v>
      </c>
      <c r="N81" t="n">
        <v>0</v>
      </c>
      <c r="O81" t="n">
        <v>0</v>
      </c>
      <c r="P81" t="n">
        <v>0</v>
      </c>
      <c r="Q81" t="n">
        <v>0</v>
      </c>
      <c r="R81" s="2" t="inlineStr"/>
    </row>
    <row r="82" ht="15" customHeight="1">
      <c r="A82" t="inlineStr">
        <is>
          <t>A 1915-2025</t>
        </is>
      </c>
      <c r="B82" s="1" t="n">
        <v>45671</v>
      </c>
      <c r="C82" s="1" t="n">
        <v>46202</v>
      </c>
      <c r="D82" t="inlineStr">
        <is>
          <t>JÖNKÖPINGS LÄN</t>
        </is>
      </c>
      <c r="E82" t="inlineStr">
        <is>
          <t>HABO</t>
        </is>
      </c>
      <c r="G82" t="n">
        <v>2</v>
      </c>
      <c r="H82" t="n">
        <v>0</v>
      </c>
      <c r="I82" t="n">
        <v>0</v>
      </c>
      <c r="J82" t="n">
        <v>0</v>
      </c>
      <c r="K82" t="n">
        <v>0</v>
      </c>
      <c r="L82" t="n">
        <v>0</v>
      </c>
      <c r="M82" t="n">
        <v>0</v>
      </c>
      <c r="N82" t="n">
        <v>0</v>
      </c>
      <c r="O82" t="n">
        <v>0</v>
      </c>
      <c r="P82" t="n">
        <v>0</v>
      </c>
      <c r="Q82" t="n">
        <v>0</v>
      </c>
      <c r="R82" s="2" t="inlineStr"/>
    </row>
    <row r="83" ht="15" customHeight="1">
      <c r="A83" t="inlineStr">
        <is>
          <t>A 28131-2023</t>
        </is>
      </c>
      <c r="B83" s="1" t="n">
        <v>45099</v>
      </c>
      <c r="C83" s="1" t="n">
        <v>46202</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28140-2023</t>
        </is>
      </c>
      <c r="B84" s="1" t="n">
        <v>45099</v>
      </c>
      <c r="C84" s="1" t="n">
        <v>46202</v>
      </c>
      <c r="D84" t="inlineStr">
        <is>
          <t>JÖNKÖPINGS LÄN</t>
        </is>
      </c>
      <c r="E84" t="inlineStr">
        <is>
          <t>HABO</t>
        </is>
      </c>
      <c r="G84" t="n">
        <v>3.4</v>
      </c>
      <c r="H84" t="n">
        <v>0</v>
      </c>
      <c r="I84" t="n">
        <v>0</v>
      </c>
      <c r="J84" t="n">
        <v>0</v>
      </c>
      <c r="K84" t="n">
        <v>0</v>
      </c>
      <c r="L84" t="n">
        <v>0</v>
      </c>
      <c r="M84" t="n">
        <v>0</v>
      </c>
      <c r="N84" t="n">
        <v>0</v>
      </c>
      <c r="O84" t="n">
        <v>0</v>
      </c>
      <c r="P84" t="n">
        <v>0</v>
      </c>
      <c r="Q84" t="n">
        <v>0</v>
      </c>
      <c r="R84" s="2" t="inlineStr"/>
    </row>
    <row r="85" ht="15" customHeight="1">
      <c r="A85" t="inlineStr">
        <is>
          <t>A 26774-2024</t>
        </is>
      </c>
      <c r="B85" s="1" t="n">
        <v>45469</v>
      </c>
      <c r="C85" s="1" t="n">
        <v>46202</v>
      </c>
      <c r="D85" t="inlineStr">
        <is>
          <t>JÖNKÖPINGS LÄN</t>
        </is>
      </c>
      <c r="E85" t="inlineStr">
        <is>
          <t>HABO</t>
        </is>
      </c>
      <c r="G85" t="n">
        <v>0.6</v>
      </c>
      <c r="H85" t="n">
        <v>0</v>
      </c>
      <c r="I85" t="n">
        <v>0</v>
      </c>
      <c r="J85" t="n">
        <v>0</v>
      </c>
      <c r="K85" t="n">
        <v>0</v>
      </c>
      <c r="L85" t="n">
        <v>0</v>
      </c>
      <c r="M85" t="n">
        <v>0</v>
      </c>
      <c r="N85" t="n">
        <v>0</v>
      </c>
      <c r="O85" t="n">
        <v>0</v>
      </c>
      <c r="P85" t="n">
        <v>0</v>
      </c>
      <c r="Q85" t="n">
        <v>0</v>
      </c>
      <c r="R85" s="2" t="inlineStr"/>
    </row>
    <row r="86" ht="15" customHeight="1">
      <c r="A86" t="inlineStr">
        <is>
          <t>A 61580-2024</t>
        </is>
      </c>
      <c r="B86" s="1" t="n">
        <v>45646</v>
      </c>
      <c r="C86" s="1" t="n">
        <v>46202</v>
      </c>
      <c r="D86" t="inlineStr">
        <is>
          <t>JÖNKÖPINGS LÄN</t>
        </is>
      </c>
      <c r="E86" t="inlineStr">
        <is>
          <t>HABO</t>
        </is>
      </c>
      <c r="G86" t="n">
        <v>2.1</v>
      </c>
      <c r="H86" t="n">
        <v>0</v>
      </c>
      <c r="I86" t="n">
        <v>0</v>
      </c>
      <c r="J86" t="n">
        <v>0</v>
      </c>
      <c r="K86" t="n">
        <v>0</v>
      </c>
      <c r="L86" t="n">
        <v>0</v>
      </c>
      <c r="M86" t="n">
        <v>0</v>
      </c>
      <c r="N86" t="n">
        <v>0</v>
      </c>
      <c r="O86" t="n">
        <v>0</v>
      </c>
      <c r="P86" t="n">
        <v>0</v>
      </c>
      <c r="Q86" t="n">
        <v>0</v>
      </c>
      <c r="R86" s="2" t="inlineStr"/>
    </row>
    <row r="87" ht="15" customHeight="1">
      <c r="A87" t="inlineStr">
        <is>
          <t>A 59058-2024</t>
        </is>
      </c>
      <c r="B87" s="1" t="n">
        <v>45636</v>
      </c>
      <c r="C87" s="1" t="n">
        <v>46202</v>
      </c>
      <c r="D87" t="inlineStr">
        <is>
          <t>JÖNKÖPINGS LÄN</t>
        </is>
      </c>
      <c r="E87" t="inlineStr">
        <is>
          <t>HABO</t>
        </is>
      </c>
      <c r="G87" t="n">
        <v>0.4</v>
      </c>
      <c r="H87" t="n">
        <v>0</v>
      </c>
      <c r="I87" t="n">
        <v>0</v>
      </c>
      <c r="J87" t="n">
        <v>0</v>
      </c>
      <c r="K87" t="n">
        <v>0</v>
      </c>
      <c r="L87" t="n">
        <v>0</v>
      </c>
      <c r="M87" t="n">
        <v>0</v>
      </c>
      <c r="N87" t="n">
        <v>0</v>
      </c>
      <c r="O87" t="n">
        <v>0</v>
      </c>
      <c r="P87" t="n">
        <v>0</v>
      </c>
      <c r="Q87" t="n">
        <v>0</v>
      </c>
      <c r="R87" s="2" t="inlineStr"/>
    </row>
    <row r="88" ht="15" customHeight="1">
      <c r="A88" t="inlineStr">
        <is>
          <t>A 3077-2024</t>
        </is>
      </c>
      <c r="B88" s="1" t="n">
        <v>45316</v>
      </c>
      <c r="C88" s="1" t="n">
        <v>46202</v>
      </c>
      <c r="D88" t="inlineStr">
        <is>
          <t>JÖNKÖPINGS LÄN</t>
        </is>
      </c>
      <c r="E88" t="inlineStr">
        <is>
          <t>HABO</t>
        </is>
      </c>
      <c r="G88" t="n">
        <v>3</v>
      </c>
      <c r="H88" t="n">
        <v>0</v>
      </c>
      <c r="I88" t="n">
        <v>0</v>
      </c>
      <c r="J88" t="n">
        <v>0</v>
      </c>
      <c r="K88" t="n">
        <v>0</v>
      </c>
      <c r="L88" t="n">
        <v>0</v>
      </c>
      <c r="M88" t="n">
        <v>0</v>
      </c>
      <c r="N88" t="n">
        <v>0</v>
      </c>
      <c r="O88" t="n">
        <v>0</v>
      </c>
      <c r="P88" t="n">
        <v>0</v>
      </c>
      <c r="Q88" t="n">
        <v>0</v>
      </c>
      <c r="R88" s="2" t="inlineStr"/>
    </row>
    <row r="89" ht="15" customHeight="1">
      <c r="A89" t="inlineStr">
        <is>
          <t>A 37802-2024</t>
        </is>
      </c>
      <c r="B89" s="1" t="n">
        <v>45543</v>
      </c>
      <c r="C89" s="1" t="n">
        <v>46202</v>
      </c>
      <c r="D89" t="inlineStr">
        <is>
          <t>JÖNKÖPINGS LÄN</t>
        </is>
      </c>
      <c r="E89" t="inlineStr">
        <is>
          <t>HABO</t>
        </is>
      </c>
      <c r="G89" t="n">
        <v>2.8</v>
      </c>
      <c r="H89" t="n">
        <v>0</v>
      </c>
      <c r="I89" t="n">
        <v>0</v>
      </c>
      <c r="J89" t="n">
        <v>0</v>
      </c>
      <c r="K89" t="n">
        <v>0</v>
      </c>
      <c r="L89" t="n">
        <v>0</v>
      </c>
      <c r="M89" t="n">
        <v>0</v>
      </c>
      <c r="N89" t="n">
        <v>0</v>
      </c>
      <c r="O89" t="n">
        <v>0</v>
      </c>
      <c r="P89" t="n">
        <v>0</v>
      </c>
      <c r="Q89" t="n">
        <v>0</v>
      </c>
      <c r="R89" s="2" t="inlineStr"/>
    </row>
    <row r="90" ht="15" customHeight="1">
      <c r="A90" t="inlineStr">
        <is>
          <t>A 35779-2022</t>
        </is>
      </c>
      <c r="B90" s="1" t="n">
        <v>44801</v>
      </c>
      <c r="C90" s="1" t="n">
        <v>46202</v>
      </c>
      <c r="D90" t="inlineStr">
        <is>
          <t>JÖNKÖPINGS LÄN</t>
        </is>
      </c>
      <c r="E90" t="inlineStr">
        <is>
          <t>HABO</t>
        </is>
      </c>
      <c r="G90" t="n">
        <v>1.5</v>
      </c>
      <c r="H90" t="n">
        <v>0</v>
      </c>
      <c r="I90" t="n">
        <v>0</v>
      </c>
      <c r="J90" t="n">
        <v>0</v>
      </c>
      <c r="K90" t="n">
        <v>0</v>
      </c>
      <c r="L90" t="n">
        <v>0</v>
      </c>
      <c r="M90" t="n">
        <v>0</v>
      </c>
      <c r="N90" t="n">
        <v>0</v>
      </c>
      <c r="O90" t="n">
        <v>0</v>
      </c>
      <c r="P90" t="n">
        <v>0</v>
      </c>
      <c r="Q90" t="n">
        <v>0</v>
      </c>
      <c r="R90" s="2" t="inlineStr"/>
    </row>
    <row r="91" ht="15" customHeight="1">
      <c r="A91" t="inlineStr">
        <is>
          <t>A 30340-2023</t>
        </is>
      </c>
      <c r="B91" s="1" t="n">
        <v>45111</v>
      </c>
      <c r="C91" s="1" t="n">
        <v>46202</v>
      </c>
      <c r="D91" t="inlineStr">
        <is>
          <t>JÖNKÖPINGS LÄN</t>
        </is>
      </c>
      <c r="E91" t="inlineStr">
        <is>
          <t>HABO</t>
        </is>
      </c>
      <c r="G91" t="n">
        <v>2.2</v>
      </c>
      <c r="H91" t="n">
        <v>0</v>
      </c>
      <c r="I91" t="n">
        <v>0</v>
      </c>
      <c r="J91" t="n">
        <v>0</v>
      </c>
      <c r="K91" t="n">
        <v>0</v>
      </c>
      <c r="L91" t="n">
        <v>0</v>
      </c>
      <c r="M91" t="n">
        <v>0</v>
      </c>
      <c r="N91" t="n">
        <v>0</v>
      </c>
      <c r="O91" t="n">
        <v>0</v>
      </c>
      <c r="P91" t="n">
        <v>0</v>
      </c>
      <c r="Q91" t="n">
        <v>0</v>
      </c>
      <c r="R91" s="2" t="inlineStr"/>
    </row>
    <row r="92" ht="15" customHeight="1">
      <c r="A92" t="inlineStr">
        <is>
          <t>A 4549-2025</t>
        </is>
      </c>
      <c r="B92" s="1" t="n">
        <v>45687</v>
      </c>
      <c r="C92" s="1" t="n">
        <v>46202</v>
      </c>
      <c r="D92" t="inlineStr">
        <is>
          <t>JÖNKÖPINGS LÄN</t>
        </is>
      </c>
      <c r="E92" t="inlineStr">
        <is>
          <t>HABO</t>
        </is>
      </c>
      <c r="G92" t="n">
        <v>0.5</v>
      </c>
      <c r="H92" t="n">
        <v>0</v>
      </c>
      <c r="I92" t="n">
        <v>0</v>
      </c>
      <c r="J92" t="n">
        <v>0</v>
      </c>
      <c r="K92" t="n">
        <v>0</v>
      </c>
      <c r="L92" t="n">
        <v>0</v>
      </c>
      <c r="M92" t="n">
        <v>0</v>
      </c>
      <c r="N92" t="n">
        <v>0</v>
      </c>
      <c r="O92" t="n">
        <v>0</v>
      </c>
      <c r="P92" t="n">
        <v>0</v>
      </c>
      <c r="Q92" t="n">
        <v>0</v>
      </c>
      <c r="R92" s="2" t="inlineStr"/>
    </row>
    <row r="93" ht="15" customHeight="1">
      <c r="A93" t="inlineStr">
        <is>
          <t>A 49849-2024</t>
        </is>
      </c>
      <c r="B93" s="1" t="n">
        <v>45597</v>
      </c>
      <c r="C93" s="1" t="n">
        <v>46202</v>
      </c>
      <c r="D93" t="inlineStr">
        <is>
          <t>JÖNKÖPINGS LÄN</t>
        </is>
      </c>
      <c r="E93" t="inlineStr">
        <is>
          <t>HABO</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16727-2023</t>
        </is>
      </c>
      <c r="B94" s="1" t="n">
        <v>45030</v>
      </c>
      <c r="C94" s="1" t="n">
        <v>46202</v>
      </c>
      <c r="D94" t="inlineStr">
        <is>
          <t>JÖNKÖPINGS LÄN</t>
        </is>
      </c>
      <c r="E94" t="inlineStr">
        <is>
          <t>HABO</t>
        </is>
      </c>
      <c r="G94" t="n">
        <v>3.2</v>
      </c>
      <c r="H94" t="n">
        <v>0</v>
      </c>
      <c r="I94" t="n">
        <v>0</v>
      </c>
      <c r="J94" t="n">
        <v>0</v>
      </c>
      <c r="K94" t="n">
        <v>0</v>
      </c>
      <c r="L94" t="n">
        <v>0</v>
      </c>
      <c r="M94" t="n">
        <v>0</v>
      </c>
      <c r="N94" t="n">
        <v>0</v>
      </c>
      <c r="O94" t="n">
        <v>0</v>
      </c>
      <c r="P94" t="n">
        <v>0</v>
      </c>
      <c r="Q94" t="n">
        <v>0</v>
      </c>
      <c r="R94" s="2" t="inlineStr"/>
    </row>
    <row r="95" ht="15" customHeight="1">
      <c r="A95" t="inlineStr">
        <is>
          <t>A 23148-2024</t>
        </is>
      </c>
      <c r="B95" s="1" t="n">
        <v>45450</v>
      </c>
      <c r="C95" s="1" t="n">
        <v>46202</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23153-2024</t>
        </is>
      </c>
      <c r="B96" s="1" t="n">
        <v>45450</v>
      </c>
      <c r="C96" s="1" t="n">
        <v>46202</v>
      </c>
      <c r="D96" t="inlineStr">
        <is>
          <t>JÖNKÖPINGS LÄN</t>
        </is>
      </c>
      <c r="E96" t="inlineStr">
        <is>
          <t>HABO</t>
        </is>
      </c>
      <c r="G96" t="n">
        <v>2.9</v>
      </c>
      <c r="H96" t="n">
        <v>0</v>
      </c>
      <c r="I96" t="n">
        <v>0</v>
      </c>
      <c r="J96" t="n">
        <v>0</v>
      </c>
      <c r="K96" t="n">
        <v>0</v>
      </c>
      <c r="L96" t="n">
        <v>0</v>
      </c>
      <c r="M96" t="n">
        <v>0</v>
      </c>
      <c r="N96" t="n">
        <v>0</v>
      </c>
      <c r="O96" t="n">
        <v>0</v>
      </c>
      <c r="P96" t="n">
        <v>0</v>
      </c>
      <c r="Q96" t="n">
        <v>0</v>
      </c>
      <c r="R96" s="2" t="inlineStr"/>
    </row>
    <row r="97" ht="15" customHeight="1">
      <c r="A97" t="inlineStr">
        <is>
          <t>A 28685-2024</t>
        </is>
      </c>
      <c r="B97" s="1" t="n">
        <v>45478</v>
      </c>
      <c r="C97" s="1" t="n">
        <v>46202</v>
      </c>
      <c r="D97" t="inlineStr">
        <is>
          <t>JÖNKÖPINGS LÄN</t>
        </is>
      </c>
      <c r="E97" t="inlineStr">
        <is>
          <t>HABO</t>
        </is>
      </c>
      <c r="G97" t="n">
        <v>0.7</v>
      </c>
      <c r="H97" t="n">
        <v>0</v>
      </c>
      <c r="I97" t="n">
        <v>0</v>
      </c>
      <c r="J97" t="n">
        <v>0</v>
      </c>
      <c r="K97" t="n">
        <v>0</v>
      </c>
      <c r="L97" t="n">
        <v>0</v>
      </c>
      <c r="M97" t="n">
        <v>0</v>
      </c>
      <c r="N97" t="n">
        <v>0</v>
      </c>
      <c r="O97" t="n">
        <v>0</v>
      </c>
      <c r="P97" t="n">
        <v>0</v>
      </c>
      <c r="Q97" t="n">
        <v>0</v>
      </c>
      <c r="R97" s="2" t="inlineStr"/>
    </row>
    <row r="98" ht="15" customHeight="1">
      <c r="A98" t="inlineStr">
        <is>
          <t>A 54988-2024</t>
        </is>
      </c>
      <c r="B98" s="1" t="n">
        <v>45620</v>
      </c>
      <c r="C98" s="1" t="n">
        <v>46202</v>
      </c>
      <c r="D98" t="inlineStr">
        <is>
          <t>JÖNKÖPINGS LÄN</t>
        </is>
      </c>
      <c r="E98" t="inlineStr">
        <is>
          <t>HABO</t>
        </is>
      </c>
      <c r="G98" t="n">
        <v>1.1</v>
      </c>
      <c r="H98" t="n">
        <v>0</v>
      </c>
      <c r="I98" t="n">
        <v>0</v>
      </c>
      <c r="J98" t="n">
        <v>0</v>
      </c>
      <c r="K98" t="n">
        <v>0</v>
      </c>
      <c r="L98" t="n">
        <v>0</v>
      </c>
      <c r="M98" t="n">
        <v>0</v>
      </c>
      <c r="N98" t="n">
        <v>0</v>
      </c>
      <c r="O98" t="n">
        <v>0</v>
      </c>
      <c r="P98" t="n">
        <v>0</v>
      </c>
      <c r="Q98" t="n">
        <v>0</v>
      </c>
      <c r="R98" s="2" t="inlineStr"/>
    </row>
    <row r="99" ht="15" customHeight="1">
      <c r="A99" t="inlineStr">
        <is>
          <t>A 38779-2022</t>
        </is>
      </c>
      <c r="B99" s="1" t="n">
        <v>44816</v>
      </c>
      <c r="C99" s="1" t="n">
        <v>46202</v>
      </c>
      <c r="D99" t="inlineStr">
        <is>
          <t>JÖNKÖPINGS LÄN</t>
        </is>
      </c>
      <c r="E99" t="inlineStr">
        <is>
          <t>HABO</t>
        </is>
      </c>
      <c r="G99" t="n">
        <v>1.4</v>
      </c>
      <c r="H99" t="n">
        <v>0</v>
      </c>
      <c r="I99" t="n">
        <v>0</v>
      </c>
      <c r="J99" t="n">
        <v>0</v>
      </c>
      <c r="K99" t="n">
        <v>0</v>
      </c>
      <c r="L99" t="n">
        <v>0</v>
      </c>
      <c r="M99" t="n">
        <v>0</v>
      </c>
      <c r="N99" t="n">
        <v>0</v>
      </c>
      <c r="O99" t="n">
        <v>0</v>
      </c>
      <c r="P99" t="n">
        <v>0</v>
      </c>
      <c r="Q99" t="n">
        <v>0</v>
      </c>
      <c r="R99" s="2" t="inlineStr"/>
    </row>
    <row r="100" ht="15" customHeight="1">
      <c r="A100" t="inlineStr">
        <is>
          <t>A 55369-2024</t>
        </is>
      </c>
      <c r="B100" s="1" t="n">
        <v>45621</v>
      </c>
      <c r="C100" s="1" t="n">
        <v>46202</v>
      </c>
      <c r="D100" t="inlineStr">
        <is>
          <t>JÖNKÖPINGS LÄN</t>
        </is>
      </c>
      <c r="E100" t="inlineStr">
        <is>
          <t>HABO</t>
        </is>
      </c>
      <c r="G100" t="n">
        <v>4.5</v>
      </c>
      <c r="H100" t="n">
        <v>0</v>
      </c>
      <c r="I100" t="n">
        <v>0</v>
      </c>
      <c r="J100" t="n">
        <v>0</v>
      </c>
      <c r="K100" t="n">
        <v>0</v>
      </c>
      <c r="L100" t="n">
        <v>0</v>
      </c>
      <c r="M100" t="n">
        <v>0</v>
      </c>
      <c r="N100" t="n">
        <v>0</v>
      </c>
      <c r="O100" t="n">
        <v>0</v>
      </c>
      <c r="P100" t="n">
        <v>0</v>
      </c>
      <c r="Q100" t="n">
        <v>0</v>
      </c>
      <c r="R100" s="2" t="inlineStr"/>
    </row>
    <row r="101" ht="15" customHeight="1">
      <c r="A101" t="inlineStr">
        <is>
          <t>A 55370-2024</t>
        </is>
      </c>
      <c r="B101" s="1" t="n">
        <v>45621</v>
      </c>
      <c r="C101" s="1" t="n">
        <v>46202</v>
      </c>
      <c r="D101" t="inlineStr">
        <is>
          <t>JÖNKÖPINGS LÄN</t>
        </is>
      </c>
      <c r="E101" t="inlineStr">
        <is>
          <t>HABO</t>
        </is>
      </c>
      <c r="G101" t="n">
        <v>11.5</v>
      </c>
      <c r="H101" t="n">
        <v>0</v>
      </c>
      <c r="I101" t="n">
        <v>0</v>
      </c>
      <c r="J101" t="n">
        <v>0</v>
      </c>
      <c r="K101" t="n">
        <v>0</v>
      </c>
      <c r="L101" t="n">
        <v>0</v>
      </c>
      <c r="M101" t="n">
        <v>0</v>
      </c>
      <c r="N101" t="n">
        <v>0</v>
      </c>
      <c r="O101" t="n">
        <v>0</v>
      </c>
      <c r="P101" t="n">
        <v>0</v>
      </c>
      <c r="Q101" t="n">
        <v>0</v>
      </c>
      <c r="R101" s="2" t="inlineStr"/>
    </row>
    <row r="102" ht="15" customHeight="1">
      <c r="A102" t="inlineStr">
        <is>
          <t>A 55376-2024</t>
        </is>
      </c>
      <c r="B102" s="1" t="n">
        <v>45621</v>
      </c>
      <c r="C102" s="1" t="n">
        <v>46202</v>
      </c>
      <c r="D102" t="inlineStr">
        <is>
          <t>JÖNKÖPINGS LÄN</t>
        </is>
      </c>
      <c r="E102" t="inlineStr">
        <is>
          <t>HABO</t>
        </is>
      </c>
      <c r="G102" t="n">
        <v>2.6</v>
      </c>
      <c r="H102" t="n">
        <v>0</v>
      </c>
      <c r="I102" t="n">
        <v>0</v>
      </c>
      <c r="J102" t="n">
        <v>0</v>
      </c>
      <c r="K102" t="n">
        <v>0</v>
      </c>
      <c r="L102" t="n">
        <v>0</v>
      </c>
      <c r="M102" t="n">
        <v>0</v>
      </c>
      <c r="N102" t="n">
        <v>0</v>
      </c>
      <c r="O102" t="n">
        <v>0</v>
      </c>
      <c r="P102" t="n">
        <v>0</v>
      </c>
      <c r="Q102" t="n">
        <v>0</v>
      </c>
      <c r="R102" s="2" t="inlineStr"/>
    </row>
    <row r="103" ht="15" customHeight="1">
      <c r="A103" t="inlineStr">
        <is>
          <t>A 45601-2022</t>
        </is>
      </c>
      <c r="B103" s="1" t="n">
        <v>44845</v>
      </c>
      <c r="C103" s="1" t="n">
        <v>46202</v>
      </c>
      <c r="D103" t="inlineStr">
        <is>
          <t>JÖNKÖPINGS LÄN</t>
        </is>
      </c>
      <c r="E103" t="inlineStr">
        <is>
          <t>HABO</t>
        </is>
      </c>
      <c r="G103" t="n">
        <v>3</v>
      </c>
      <c r="H103" t="n">
        <v>0</v>
      </c>
      <c r="I103" t="n">
        <v>0</v>
      </c>
      <c r="J103" t="n">
        <v>0</v>
      </c>
      <c r="K103" t="n">
        <v>0</v>
      </c>
      <c r="L103" t="n">
        <v>0</v>
      </c>
      <c r="M103" t="n">
        <v>0</v>
      </c>
      <c r="N103" t="n">
        <v>0</v>
      </c>
      <c r="O103" t="n">
        <v>0</v>
      </c>
      <c r="P103" t="n">
        <v>0</v>
      </c>
      <c r="Q103" t="n">
        <v>0</v>
      </c>
      <c r="R103" s="2" t="inlineStr"/>
    </row>
    <row r="104" ht="15" customHeight="1">
      <c r="A104" t="inlineStr">
        <is>
          <t>A 45277-2024</t>
        </is>
      </c>
      <c r="B104" s="1" t="n">
        <v>45576</v>
      </c>
      <c r="C104" s="1" t="n">
        <v>46202</v>
      </c>
      <c r="D104" t="inlineStr">
        <is>
          <t>JÖNKÖPINGS LÄN</t>
        </is>
      </c>
      <c r="E104" t="inlineStr">
        <is>
          <t>HABO</t>
        </is>
      </c>
      <c r="G104" t="n">
        <v>0.5</v>
      </c>
      <c r="H104" t="n">
        <v>0</v>
      </c>
      <c r="I104" t="n">
        <v>0</v>
      </c>
      <c r="J104" t="n">
        <v>0</v>
      </c>
      <c r="K104" t="n">
        <v>0</v>
      </c>
      <c r="L104" t="n">
        <v>0</v>
      </c>
      <c r="M104" t="n">
        <v>0</v>
      </c>
      <c r="N104" t="n">
        <v>0</v>
      </c>
      <c r="O104" t="n">
        <v>0</v>
      </c>
      <c r="P104" t="n">
        <v>0</v>
      </c>
      <c r="Q104" t="n">
        <v>0</v>
      </c>
      <c r="R104" s="2" t="inlineStr"/>
    </row>
    <row r="105" ht="15" customHeight="1">
      <c r="A105" t="inlineStr">
        <is>
          <t>A 43160-2023</t>
        </is>
      </c>
      <c r="B105" s="1" t="n">
        <v>45183</v>
      </c>
      <c r="C105" s="1" t="n">
        <v>46202</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11426-2024</t>
        </is>
      </c>
      <c r="B106" s="1" t="n">
        <v>45372</v>
      </c>
      <c r="C106" s="1" t="n">
        <v>46202</v>
      </c>
      <c r="D106" t="inlineStr">
        <is>
          <t>JÖNKÖPINGS LÄN</t>
        </is>
      </c>
      <c r="E106" t="inlineStr">
        <is>
          <t>HABO</t>
        </is>
      </c>
      <c r="G106" t="n">
        <v>2.3</v>
      </c>
      <c r="H106" t="n">
        <v>0</v>
      </c>
      <c r="I106" t="n">
        <v>0</v>
      </c>
      <c r="J106" t="n">
        <v>0</v>
      </c>
      <c r="K106" t="n">
        <v>0</v>
      </c>
      <c r="L106" t="n">
        <v>0</v>
      </c>
      <c r="M106" t="n">
        <v>0</v>
      </c>
      <c r="N106" t="n">
        <v>0</v>
      </c>
      <c r="O106" t="n">
        <v>0</v>
      </c>
      <c r="P106" t="n">
        <v>0</v>
      </c>
      <c r="Q106" t="n">
        <v>0</v>
      </c>
      <c r="R106" s="2" t="inlineStr"/>
    </row>
    <row r="107" ht="15" customHeight="1">
      <c r="A107" t="inlineStr">
        <is>
          <t>A 17941-2025</t>
        </is>
      </c>
      <c r="B107" s="1" t="n">
        <v>45760</v>
      </c>
      <c r="C107" s="1" t="n">
        <v>46202</v>
      </c>
      <c r="D107" t="inlineStr">
        <is>
          <t>JÖNKÖPINGS LÄN</t>
        </is>
      </c>
      <c r="E107" t="inlineStr">
        <is>
          <t>HABO</t>
        </is>
      </c>
      <c r="G107" t="n">
        <v>2.4</v>
      </c>
      <c r="H107" t="n">
        <v>0</v>
      </c>
      <c r="I107" t="n">
        <v>0</v>
      </c>
      <c r="J107" t="n">
        <v>0</v>
      </c>
      <c r="K107" t="n">
        <v>0</v>
      </c>
      <c r="L107" t="n">
        <v>0</v>
      </c>
      <c r="M107" t="n">
        <v>0</v>
      </c>
      <c r="N107" t="n">
        <v>0</v>
      </c>
      <c r="O107" t="n">
        <v>0</v>
      </c>
      <c r="P107" t="n">
        <v>0</v>
      </c>
      <c r="Q107" t="n">
        <v>0</v>
      </c>
      <c r="R107" s="2" t="inlineStr"/>
    </row>
    <row r="108" ht="15" customHeight="1">
      <c r="A108" t="inlineStr">
        <is>
          <t>A 1004-2022</t>
        </is>
      </c>
      <c r="B108" s="1" t="n">
        <v>44571</v>
      </c>
      <c r="C108" s="1" t="n">
        <v>46202</v>
      </c>
      <c r="D108" t="inlineStr">
        <is>
          <t>JÖNKÖPINGS LÄN</t>
        </is>
      </c>
      <c r="E108" t="inlineStr">
        <is>
          <t>HABO</t>
        </is>
      </c>
      <c r="G108" t="n">
        <v>2.3</v>
      </c>
      <c r="H108" t="n">
        <v>0</v>
      </c>
      <c r="I108" t="n">
        <v>0</v>
      </c>
      <c r="J108" t="n">
        <v>0</v>
      </c>
      <c r="K108" t="n">
        <v>0</v>
      </c>
      <c r="L108" t="n">
        <v>0</v>
      </c>
      <c r="M108" t="n">
        <v>0</v>
      </c>
      <c r="N108" t="n">
        <v>0</v>
      </c>
      <c r="O108" t="n">
        <v>0</v>
      </c>
      <c r="P108" t="n">
        <v>0</v>
      </c>
      <c r="Q108" t="n">
        <v>0</v>
      </c>
      <c r="R108" s="2" t="inlineStr"/>
    </row>
    <row r="109" ht="15" customHeight="1">
      <c r="A109" t="inlineStr">
        <is>
          <t>A 61665-2024</t>
        </is>
      </c>
      <c r="B109" s="1" t="n">
        <v>45647</v>
      </c>
      <c r="C109" s="1" t="n">
        <v>46202</v>
      </c>
      <c r="D109" t="inlineStr">
        <is>
          <t>JÖNKÖPINGS LÄN</t>
        </is>
      </c>
      <c r="E109" t="inlineStr">
        <is>
          <t>HABO</t>
        </is>
      </c>
      <c r="G109" t="n">
        <v>0.7</v>
      </c>
      <c r="H109" t="n">
        <v>0</v>
      </c>
      <c r="I109" t="n">
        <v>0</v>
      </c>
      <c r="J109" t="n">
        <v>0</v>
      </c>
      <c r="K109" t="n">
        <v>0</v>
      </c>
      <c r="L109" t="n">
        <v>0</v>
      </c>
      <c r="M109" t="n">
        <v>0</v>
      </c>
      <c r="N109" t="n">
        <v>0</v>
      </c>
      <c r="O109" t="n">
        <v>0</v>
      </c>
      <c r="P109" t="n">
        <v>0</v>
      </c>
      <c r="Q109" t="n">
        <v>0</v>
      </c>
      <c r="R109" s="2" t="inlineStr"/>
    </row>
    <row r="110" ht="15" customHeight="1">
      <c r="A110" t="inlineStr">
        <is>
          <t>A 58430-2021</t>
        </is>
      </c>
      <c r="B110" s="1" t="n">
        <v>44488</v>
      </c>
      <c r="C110" s="1" t="n">
        <v>46202</v>
      </c>
      <c r="D110" t="inlineStr">
        <is>
          <t>JÖNKÖPINGS LÄN</t>
        </is>
      </c>
      <c r="E110" t="inlineStr">
        <is>
          <t>HABO</t>
        </is>
      </c>
      <c r="G110" t="n">
        <v>1.4</v>
      </c>
      <c r="H110" t="n">
        <v>0</v>
      </c>
      <c r="I110" t="n">
        <v>0</v>
      </c>
      <c r="J110" t="n">
        <v>0</v>
      </c>
      <c r="K110" t="n">
        <v>0</v>
      </c>
      <c r="L110" t="n">
        <v>0</v>
      </c>
      <c r="M110" t="n">
        <v>0</v>
      </c>
      <c r="N110" t="n">
        <v>0</v>
      </c>
      <c r="O110" t="n">
        <v>0</v>
      </c>
      <c r="P110" t="n">
        <v>0</v>
      </c>
      <c r="Q110" t="n">
        <v>0</v>
      </c>
      <c r="R110" s="2" t="inlineStr"/>
    </row>
    <row r="111" ht="15" customHeight="1">
      <c r="A111" t="inlineStr">
        <is>
          <t>A 54892-2021</t>
        </is>
      </c>
      <c r="B111" s="1" t="n">
        <v>44474</v>
      </c>
      <c r="C111" s="1" t="n">
        <v>46202</v>
      </c>
      <c r="D111" t="inlineStr">
        <is>
          <t>JÖNKÖPINGS LÄN</t>
        </is>
      </c>
      <c r="E111" t="inlineStr">
        <is>
          <t>HABO</t>
        </is>
      </c>
      <c r="G111" t="n">
        <v>1.5</v>
      </c>
      <c r="H111" t="n">
        <v>0</v>
      </c>
      <c r="I111" t="n">
        <v>0</v>
      </c>
      <c r="J111" t="n">
        <v>0</v>
      </c>
      <c r="K111" t="n">
        <v>0</v>
      </c>
      <c r="L111" t="n">
        <v>0</v>
      </c>
      <c r="M111" t="n">
        <v>0</v>
      </c>
      <c r="N111" t="n">
        <v>0</v>
      </c>
      <c r="O111" t="n">
        <v>0</v>
      </c>
      <c r="P111" t="n">
        <v>0</v>
      </c>
      <c r="Q111" t="n">
        <v>0</v>
      </c>
      <c r="R111" s="2" t="inlineStr"/>
    </row>
    <row r="112" ht="15" customHeight="1">
      <c r="A112" t="inlineStr">
        <is>
          <t>A 62764-2023</t>
        </is>
      </c>
      <c r="B112" s="1" t="n">
        <v>45271</v>
      </c>
      <c r="C112" s="1" t="n">
        <v>46202</v>
      </c>
      <c r="D112" t="inlineStr">
        <is>
          <t>JÖNKÖPINGS LÄN</t>
        </is>
      </c>
      <c r="E112" t="inlineStr">
        <is>
          <t>HABO</t>
        </is>
      </c>
      <c r="G112" t="n">
        <v>2.5</v>
      </c>
      <c r="H112" t="n">
        <v>0</v>
      </c>
      <c r="I112" t="n">
        <v>0</v>
      </c>
      <c r="J112" t="n">
        <v>0</v>
      </c>
      <c r="K112" t="n">
        <v>0</v>
      </c>
      <c r="L112" t="n">
        <v>0</v>
      </c>
      <c r="M112" t="n">
        <v>0</v>
      </c>
      <c r="N112" t="n">
        <v>0</v>
      </c>
      <c r="O112" t="n">
        <v>0</v>
      </c>
      <c r="P112" t="n">
        <v>0</v>
      </c>
      <c r="Q112" t="n">
        <v>0</v>
      </c>
      <c r="R112" s="2" t="inlineStr"/>
    </row>
    <row r="113" ht="15" customHeight="1">
      <c r="A113" t="inlineStr">
        <is>
          <t>A 53264-2022</t>
        </is>
      </c>
      <c r="B113" s="1" t="n">
        <v>44876</v>
      </c>
      <c r="C113" s="1" t="n">
        <v>46202</v>
      </c>
      <c r="D113" t="inlineStr">
        <is>
          <t>JÖNKÖPINGS LÄN</t>
        </is>
      </c>
      <c r="E113" t="inlineStr">
        <is>
          <t>HABO</t>
        </is>
      </c>
      <c r="G113" t="n">
        <v>0.7</v>
      </c>
      <c r="H113" t="n">
        <v>0</v>
      </c>
      <c r="I113" t="n">
        <v>0</v>
      </c>
      <c r="J113" t="n">
        <v>0</v>
      </c>
      <c r="K113" t="n">
        <v>0</v>
      </c>
      <c r="L113" t="n">
        <v>0</v>
      </c>
      <c r="M113" t="n">
        <v>0</v>
      </c>
      <c r="N113" t="n">
        <v>0</v>
      </c>
      <c r="O113" t="n">
        <v>0</v>
      </c>
      <c r="P113" t="n">
        <v>0</v>
      </c>
      <c r="Q113" t="n">
        <v>0</v>
      </c>
      <c r="R113" s="2" t="inlineStr"/>
    </row>
    <row r="114" ht="15" customHeight="1">
      <c r="A114" t="inlineStr">
        <is>
          <t>A 2780-2023</t>
        </is>
      </c>
      <c r="B114" s="1" t="n">
        <v>44944</v>
      </c>
      <c r="C114" s="1" t="n">
        <v>46202</v>
      </c>
      <c r="D114" t="inlineStr">
        <is>
          <t>JÖNKÖPINGS LÄN</t>
        </is>
      </c>
      <c r="E114" t="inlineStr">
        <is>
          <t>HABO</t>
        </is>
      </c>
      <c r="G114" t="n">
        <v>1.3</v>
      </c>
      <c r="H114" t="n">
        <v>0</v>
      </c>
      <c r="I114" t="n">
        <v>0</v>
      </c>
      <c r="J114" t="n">
        <v>0</v>
      </c>
      <c r="K114" t="n">
        <v>0</v>
      </c>
      <c r="L114" t="n">
        <v>0</v>
      </c>
      <c r="M114" t="n">
        <v>0</v>
      </c>
      <c r="N114" t="n">
        <v>0</v>
      </c>
      <c r="O114" t="n">
        <v>0</v>
      </c>
      <c r="P114" t="n">
        <v>0</v>
      </c>
      <c r="Q114" t="n">
        <v>0</v>
      </c>
      <c r="R114" s="2" t="inlineStr"/>
    </row>
    <row r="115" ht="15" customHeight="1">
      <c r="A115" t="inlineStr">
        <is>
          <t>A 27791-2024</t>
        </is>
      </c>
      <c r="B115" s="1" t="n">
        <v>45475</v>
      </c>
      <c r="C115" s="1" t="n">
        <v>46202</v>
      </c>
      <c r="D115" t="inlineStr">
        <is>
          <t>JÖNKÖPINGS LÄN</t>
        </is>
      </c>
      <c r="E115" t="inlineStr">
        <is>
          <t>HABO</t>
        </is>
      </c>
      <c r="G115" t="n">
        <v>5</v>
      </c>
      <c r="H115" t="n">
        <v>0</v>
      </c>
      <c r="I115" t="n">
        <v>0</v>
      </c>
      <c r="J115" t="n">
        <v>0</v>
      </c>
      <c r="K115" t="n">
        <v>0</v>
      </c>
      <c r="L115" t="n">
        <v>0</v>
      </c>
      <c r="M115" t="n">
        <v>0</v>
      </c>
      <c r="N115" t="n">
        <v>0</v>
      </c>
      <c r="O115" t="n">
        <v>0</v>
      </c>
      <c r="P115" t="n">
        <v>0</v>
      </c>
      <c r="Q115" t="n">
        <v>0</v>
      </c>
      <c r="R115" s="2" t="inlineStr"/>
    </row>
    <row r="116" ht="15" customHeight="1">
      <c r="A116" t="inlineStr">
        <is>
          <t>A 27794-2024</t>
        </is>
      </c>
      <c r="B116" s="1" t="n">
        <v>45475</v>
      </c>
      <c r="C116" s="1" t="n">
        <v>46202</v>
      </c>
      <c r="D116" t="inlineStr">
        <is>
          <t>JÖNKÖPINGS LÄN</t>
        </is>
      </c>
      <c r="E116" t="inlineStr">
        <is>
          <t>HABO</t>
        </is>
      </c>
      <c r="G116" t="n">
        <v>0.9</v>
      </c>
      <c r="H116" t="n">
        <v>0</v>
      </c>
      <c r="I116" t="n">
        <v>0</v>
      </c>
      <c r="J116" t="n">
        <v>0</v>
      </c>
      <c r="K116" t="n">
        <v>0</v>
      </c>
      <c r="L116" t="n">
        <v>0</v>
      </c>
      <c r="M116" t="n">
        <v>0</v>
      </c>
      <c r="N116" t="n">
        <v>0</v>
      </c>
      <c r="O116" t="n">
        <v>0</v>
      </c>
      <c r="P116" t="n">
        <v>0</v>
      </c>
      <c r="Q116" t="n">
        <v>0</v>
      </c>
      <c r="R116" s="2" t="inlineStr"/>
    </row>
    <row r="117" ht="15" customHeight="1">
      <c r="A117" t="inlineStr">
        <is>
          <t>A 32331-2023</t>
        </is>
      </c>
      <c r="B117" s="1" t="n">
        <v>45120</v>
      </c>
      <c r="C117" s="1" t="n">
        <v>46202</v>
      </c>
      <c r="D117" t="inlineStr">
        <is>
          <t>JÖNKÖPINGS LÄN</t>
        </is>
      </c>
      <c r="E117" t="inlineStr">
        <is>
          <t>HABO</t>
        </is>
      </c>
      <c r="G117" t="n">
        <v>1.4</v>
      </c>
      <c r="H117" t="n">
        <v>0</v>
      </c>
      <c r="I117" t="n">
        <v>0</v>
      </c>
      <c r="J117" t="n">
        <v>0</v>
      </c>
      <c r="K117" t="n">
        <v>0</v>
      </c>
      <c r="L117" t="n">
        <v>0</v>
      </c>
      <c r="M117" t="n">
        <v>0</v>
      </c>
      <c r="N117" t="n">
        <v>0</v>
      </c>
      <c r="O117" t="n">
        <v>0</v>
      </c>
      <c r="P117" t="n">
        <v>0</v>
      </c>
      <c r="Q117" t="n">
        <v>0</v>
      </c>
      <c r="R117" s="2" t="inlineStr"/>
    </row>
    <row r="118" ht="15" customHeight="1">
      <c r="A118" t="inlineStr">
        <is>
          <t>A 48893-2024</t>
        </is>
      </c>
      <c r="B118" s="1" t="n">
        <v>45594</v>
      </c>
      <c r="C118" s="1" t="n">
        <v>46202</v>
      </c>
      <c r="D118" t="inlineStr">
        <is>
          <t>JÖNKÖPINGS LÄN</t>
        </is>
      </c>
      <c r="E118" t="inlineStr">
        <is>
          <t>HABO</t>
        </is>
      </c>
      <c r="G118" t="n">
        <v>2.8</v>
      </c>
      <c r="H118" t="n">
        <v>0</v>
      </c>
      <c r="I118" t="n">
        <v>0</v>
      </c>
      <c r="J118" t="n">
        <v>0</v>
      </c>
      <c r="K118" t="n">
        <v>0</v>
      </c>
      <c r="L118" t="n">
        <v>0</v>
      </c>
      <c r="M118" t="n">
        <v>0</v>
      </c>
      <c r="N118" t="n">
        <v>0</v>
      </c>
      <c r="O118" t="n">
        <v>0</v>
      </c>
      <c r="P118" t="n">
        <v>0</v>
      </c>
      <c r="Q118" t="n">
        <v>0</v>
      </c>
      <c r="R118" s="2" t="inlineStr"/>
    </row>
    <row r="119" ht="15" customHeight="1">
      <c r="A119" t="inlineStr">
        <is>
          <t>A 56289-2023</t>
        </is>
      </c>
      <c r="B119" s="1" t="n">
        <v>45242</v>
      </c>
      <c r="C119" s="1" t="n">
        <v>46202</v>
      </c>
      <c r="D119" t="inlineStr">
        <is>
          <t>JÖNKÖPINGS LÄN</t>
        </is>
      </c>
      <c r="E119" t="inlineStr">
        <is>
          <t>HABO</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59057-2024</t>
        </is>
      </c>
      <c r="B120" s="1" t="n">
        <v>45636</v>
      </c>
      <c r="C120" s="1" t="n">
        <v>46202</v>
      </c>
      <c r="D120" t="inlineStr">
        <is>
          <t>JÖNKÖPINGS LÄN</t>
        </is>
      </c>
      <c r="E120" t="inlineStr">
        <is>
          <t>HABO</t>
        </is>
      </c>
      <c r="G120" t="n">
        <v>1.7</v>
      </c>
      <c r="H120" t="n">
        <v>0</v>
      </c>
      <c r="I120" t="n">
        <v>0</v>
      </c>
      <c r="J120" t="n">
        <v>0</v>
      </c>
      <c r="K120" t="n">
        <v>0</v>
      </c>
      <c r="L120" t="n">
        <v>0</v>
      </c>
      <c r="M120" t="n">
        <v>0</v>
      </c>
      <c r="N120" t="n">
        <v>0</v>
      </c>
      <c r="O120" t="n">
        <v>0</v>
      </c>
      <c r="P120" t="n">
        <v>0</v>
      </c>
      <c r="Q120" t="n">
        <v>0</v>
      </c>
      <c r="R120" s="2" t="inlineStr"/>
    </row>
    <row r="121" ht="15" customHeight="1">
      <c r="A121" t="inlineStr">
        <is>
          <t>A 41910-2022</t>
        </is>
      </c>
      <c r="B121" s="1" t="n">
        <v>44830</v>
      </c>
      <c r="C121" s="1" t="n">
        <v>46202</v>
      </c>
      <c r="D121" t="inlineStr">
        <is>
          <t>JÖNKÖPINGS LÄN</t>
        </is>
      </c>
      <c r="E121" t="inlineStr">
        <is>
          <t>HABO</t>
        </is>
      </c>
      <c r="G121" t="n">
        <v>7.6</v>
      </c>
      <c r="H121" t="n">
        <v>0</v>
      </c>
      <c r="I121" t="n">
        <v>0</v>
      </c>
      <c r="J121" t="n">
        <v>0</v>
      </c>
      <c r="K121" t="n">
        <v>0</v>
      </c>
      <c r="L121" t="n">
        <v>0</v>
      </c>
      <c r="M121" t="n">
        <v>0</v>
      </c>
      <c r="N121" t="n">
        <v>0</v>
      </c>
      <c r="O121" t="n">
        <v>0</v>
      </c>
      <c r="P121" t="n">
        <v>0</v>
      </c>
      <c r="Q121" t="n">
        <v>0</v>
      </c>
      <c r="R121" s="2" t="inlineStr"/>
    </row>
    <row r="122" ht="15" customHeight="1">
      <c r="A122" t="inlineStr">
        <is>
          <t>A 35369-2023</t>
        </is>
      </c>
      <c r="B122" s="1" t="n">
        <v>45146</v>
      </c>
      <c r="C122" s="1" t="n">
        <v>46202</v>
      </c>
      <c r="D122" t="inlineStr">
        <is>
          <t>JÖNKÖPINGS LÄN</t>
        </is>
      </c>
      <c r="E122" t="inlineStr">
        <is>
          <t>HABO</t>
        </is>
      </c>
      <c r="G122" t="n">
        <v>3.3</v>
      </c>
      <c r="H122" t="n">
        <v>0</v>
      </c>
      <c r="I122" t="n">
        <v>0</v>
      </c>
      <c r="J122" t="n">
        <v>0</v>
      </c>
      <c r="K122" t="n">
        <v>0</v>
      </c>
      <c r="L122" t="n">
        <v>0</v>
      </c>
      <c r="M122" t="n">
        <v>0</v>
      </c>
      <c r="N122" t="n">
        <v>0</v>
      </c>
      <c r="O122" t="n">
        <v>0</v>
      </c>
      <c r="P122" t="n">
        <v>0</v>
      </c>
      <c r="Q122" t="n">
        <v>0</v>
      </c>
      <c r="R122" s="2" t="inlineStr"/>
    </row>
    <row r="123" ht="15" customHeight="1">
      <c r="A123" t="inlineStr">
        <is>
          <t>A 54987-2024</t>
        </is>
      </c>
      <c r="B123" s="1" t="n">
        <v>45620</v>
      </c>
      <c r="C123" s="1" t="n">
        <v>46202</v>
      </c>
      <c r="D123" t="inlineStr">
        <is>
          <t>JÖNKÖPINGS LÄN</t>
        </is>
      </c>
      <c r="E123" t="inlineStr">
        <is>
          <t>HABO</t>
        </is>
      </c>
      <c r="G123" t="n">
        <v>4.2</v>
      </c>
      <c r="H123" t="n">
        <v>0</v>
      </c>
      <c r="I123" t="n">
        <v>0</v>
      </c>
      <c r="J123" t="n">
        <v>0</v>
      </c>
      <c r="K123" t="n">
        <v>0</v>
      </c>
      <c r="L123" t="n">
        <v>0</v>
      </c>
      <c r="M123" t="n">
        <v>0</v>
      </c>
      <c r="N123" t="n">
        <v>0</v>
      </c>
      <c r="O123" t="n">
        <v>0</v>
      </c>
      <c r="P123" t="n">
        <v>0</v>
      </c>
      <c r="Q123" t="n">
        <v>0</v>
      </c>
      <c r="R123" s="2" t="inlineStr"/>
    </row>
    <row r="124" ht="15" customHeight="1">
      <c r="A124" t="inlineStr">
        <is>
          <t>A 2861-2025</t>
        </is>
      </c>
      <c r="B124" s="1" t="n">
        <v>45677</v>
      </c>
      <c r="C124" s="1" t="n">
        <v>46202</v>
      </c>
      <c r="D124" t="inlineStr">
        <is>
          <t>JÖNKÖPINGS LÄN</t>
        </is>
      </c>
      <c r="E124" t="inlineStr">
        <is>
          <t>HABO</t>
        </is>
      </c>
      <c r="G124" t="n">
        <v>0</v>
      </c>
      <c r="H124" t="n">
        <v>0</v>
      </c>
      <c r="I124" t="n">
        <v>0</v>
      </c>
      <c r="J124" t="n">
        <v>0</v>
      </c>
      <c r="K124" t="n">
        <v>0</v>
      </c>
      <c r="L124" t="n">
        <v>0</v>
      </c>
      <c r="M124" t="n">
        <v>0</v>
      </c>
      <c r="N124" t="n">
        <v>0</v>
      </c>
      <c r="O124" t="n">
        <v>0</v>
      </c>
      <c r="P124" t="n">
        <v>0</v>
      </c>
      <c r="Q124" t="n">
        <v>0</v>
      </c>
      <c r="R124" s="2" t="inlineStr"/>
    </row>
    <row r="125" ht="15" customHeight="1">
      <c r="A125" t="inlineStr">
        <is>
          <t>A 51027-2023</t>
        </is>
      </c>
      <c r="B125" s="1" t="n">
        <v>45218</v>
      </c>
      <c r="C125" s="1" t="n">
        <v>46202</v>
      </c>
      <c r="D125" t="inlineStr">
        <is>
          <t>JÖNKÖPINGS LÄN</t>
        </is>
      </c>
      <c r="E125" t="inlineStr">
        <is>
          <t>HABO</t>
        </is>
      </c>
      <c r="G125" t="n">
        <v>3.5</v>
      </c>
      <c r="H125" t="n">
        <v>0</v>
      </c>
      <c r="I125" t="n">
        <v>0</v>
      </c>
      <c r="J125" t="n">
        <v>0</v>
      </c>
      <c r="K125" t="n">
        <v>0</v>
      </c>
      <c r="L125" t="n">
        <v>0</v>
      </c>
      <c r="M125" t="n">
        <v>0</v>
      </c>
      <c r="N125" t="n">
        <v>0</v>
      </c>
      <c r="O125" t="n">
        <v>0</v>
      </c>
      <c r="P125" t="n">
        <v>0</v>
      </c>
      <c r="Q125" t="n">
        <v>0</v>
      </c>
      <c r="R125" s="2" t="inlineStr"/>
    </row>
    <row r="126" ht="15" customHeight="1">
      <c r="A126" t="inlineStr">
        <is>
          <t>A 10943-2022</t>
        </is>
      </c>
      <c r="B126" s="1" t="n">
        <v>44628</v>
      </c>
      <c r="C126" s="1" t="n">
        <v>46202</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47532-2023</t>
        </is>
      </c>
      <c r="B127" s="1" t="n">
        <v>45203</v>
      </c>
      <c r="C127" s="1" t="n">
        <v>46202</v>
      </c>
      <c r="D127" t="inlineStr">
        <is>
          <t>JÖNKÖPINGS LÄN</t>
        </is>
      </c>
      <c r="E127" t="inlineStr">
        <is>
          <t>HABO</t>
        </is>
      </c>
      <c r="G127" t="n">
        <v>2.5</v>
      </c>
      <c r="H127" t="n">
        <v>0</v>
      </c>
      <c r="I127" t="n">
        <v>0</v>
      </c>
      <c r="J127" t="n">
        <v>0</v>
      </c>
      <c r="K127" t="n">
        <v>0</v>
      </c>
      <c r="L127" t="n">
        <v>0</v>
      </c>
      <c r="M127" t="n">
        <v>0</v>
      </c>
      <c r="N127" t="n">
        <v>0</v>
      </c>
      <c r="O127" t="n">
        <v>0</v>
      </c>
      <c r="P127" t="n">
        <v>0</v>
      </c>
      <c r="Q127" t="n">
        <v>0</v>
      </c>
      <c r="R127" s="2" t="inlineStr"/>
    </row>
    <row r="128" ht="15" customHeight="1">
      <c r="A128" t="inlineStr">
        <is>
          <t>A 50804-2024</t>
        </is>
      </c>
      <c r="B128" s="1" t="n">
        <v>45602</v>
      </c>
      <c r="C128" s="1" t="n">
        <v>46202</v>
      </c>
      <c r="D128" t="inlineStr">
        <is>
          <t>JÖNKÖPINGS LÄN</t>
        </is>
      </c>
      <c r="E128" t="inlineStr">
        <is>
          <t>HABO</t>
        </is>
      </c>
      <c r="G128" t="n">
        <v>0.4</v>
      </c>
      <c r="H128" t="n">
        <v>0</v>
      </c>
      <c r="I128" t="n">
        <v>0</v>
      </c>
      <c r="J128" t="n">
        <v>0</v>
      </c>
      <c r="K128" t="n">
        <v>0</v>
      </c>
      <c r="L128" t="n">
        <v>0</v>
      </c>
      <c r="M128" t="n">
        <v>0</v>
      </c>
      <c r="N128" t="n">
        <v>0</v>
      </c>
      <c r="O128" t="n">
        <v>0</v>
      </c>
      <c r="P128" t="n">
        <v>0</v>
      </c>
      <c r="Q128" t="n">
        <v>0</v>
      </c>
      <c r="R128" s="2" t="inlineStr"/>
    </row>
    <row r="129" ht="15" customHeight="1">
      <c r="A129" t="inlineStr">
        <is>
          <t>A 1876-2022</t>
        </is>
      </c>
      <c r="B129" s="1" t="n">
        <v>44575</v>
      </c>
      <c r="C129" s="1" t="n">
        <v>46202</v>
      </c>
      <c r="D129" t="inlineStr">
        <is>
          <t>JÖNKÖPINGS LÄN</t>
        </is>
      </c>
      <c r="E129" t="inlineStr">
        <is>
          <t>HABO</t>
        </is>
      </c>
      <c r="G129" t="n">
        <v>1.4</v>
      </c>
      <c r="H129" t="n">
        <v>0</v>
      </c>
      <c r="I129" t="n">
        <v>0</v>
      </c>
      <c r="J129" t="n">
        <v>0</v>
      </c>
      <c r="K129" t="n">
        <v>0</v>
      </c>
      <c r="L129" t="n">
        <v>0</v>
      </c>
      <c r="M129" t="n">
        <v>0</v>
      </c>
      <c r="N129" t="n">
        <v>0</v>
      </c>
      <c r="O129" t="n">
        <v>0</v>
      </c>
      <c r="P129" t="n">
        <v>0</v>
      </c>
      <c r="Q129" t="n">
        <v>0</v>
      </c>
      <c r="R129" s="2" t="inlineStr"/>
    </row>
    <row r="130" ht="15" customHeight="1">
      <c r="A130" t="inlineStr">
        <is>
          <t>A 15516-2023</t>
        </is>
      </c>
      <c r="B130" s="1" t="n">
        <v>45020</v>
      </c>
      <c r="C130" s="1" t="n">
        <v>46202</v>
      </c>
      <c r="D130" t="inlineStr">
        <is>
          <t>JÖNKÖPINGS LÄN</t>
        </is>
      </c>
      <c r="E130" t="inlineStr">
        <is>
          <t>HABO</t>
        </is>
      </c>
      <c r="G130" t="n">
        <v>1.8</v>
      </c>
      <c r="H130" t="n">
        <v>0</v>
      </c>
      <c r="I130" t="n">
        <v>0</v>
      </c>
      <c r="J130" t="n">
        <v>0</v>
      </c>
      <c r="K130" t="n">
        <v>0</v>
      </c>
      <c r="L130" t="n">
        <v>0</v>
      </c>
      <c r="M130" t="n">
        <v>0</v>
      </c>
      <c r="N130" t="n">
        <v>0</v>
      </c>
      <c r="O130" t="n">
        <v>0</v>
      </c>
      <c r="P130" t="n">
        <v>0</v>
      </c>
      <c r="Q130" t="n">
        <v>0</v>
      </c>
      <c r="R130" s="2" t="inlineStr"/>
    </row>
    <row r="131" ht="15" customHeight="1">
      <c r="A131" t="inlineStr">
        <is>
          <t>A 15518-2023</t>
        </is>
      </c>
      <c r="B131" s="1" t="n">
        <v>45020</v>
      </c>
      <c r="C131" s="1" t="n">
        <v>46202</v>
      </c>
      <c r="D131" t="inlineStr">
        <is>
          <t>JÖNKÖPINGS LÄN</t>
        </is>
      </c>
      <c r="E131" t="inlineStr">
        <is>
          <t>HABO</t>
        </is>
      </c>
      <c r="G131" t="n">
        <v>2.5</v>
      </c>
      <c r="H131" t="n">
        <v>0</v>
      </c>
      <c r="I131" t="n">
        <v>0</v>
      </c>
      <c r="J131" t="n">
        <v>0</v>
      </c>
      <c r="K131" t="n">
        <v>0</v>
      </c>
      <c r="L131" t="n">
        <v>0</v>
      </c>
      <c r="M131" t="n">
        <v>0</v>
      </c>
      <c r="N131" t="n">
        <v>0</v>
      </c>
      <c r="O131" t="n">
        <v>0</v>
      </c>
      <c r="P131" t="n">
        <v>0</v>
      </c>
      <c r="Q131" t="n">
        <v>0</v>
      </c>
      <c r="R131" s="2" t="inlineStr"/>
    </row>
    <row r="132" ht="15" customHeight="1">
      <c r="A132" t="inlineStr">
        <is>
          <t>A 57755-2023</t>
        </is>
      </c>
      <c r="B132" s="1" t="n">
        <v>45246</v>
      </c>
      <c r="C132" s="1" t="n">
        <v>46202</v>
      </c>
      <c r="D132" t="inlineStr">
        <is>
          <t>JÖNKÖPINGS LÄN</t>
        </is>
      </c>
      <c r="E132" t="inlineStr">
        <is>
          <t>HABO</t>
        </is>
      </c>
      <c r="G132" t="n">
        <v>2.9</v>
      </c>
      <c r="H132" t="n">
        <v>0</v>
      </c>
      <c r="I132" t="n">
        <v>0</v>
      </c>
      <c r="J132" t="n">
        <v>0</v>
      </c>
      <c r="K132" t="n">
        <v>0</v>
      </c>
      <c r="L132" t="n">
        <v>0</v>
      </c>
      <c r="M132" t="n">
        <v>0</v>
      </c>
      <c r="N132" t="n">
        <v>0</v>
      </c>
      <c r="O132" t="n">
        <v>0</v>
      </c>
      <c r="P132" t="n">
        <v>0</v>
      </c>
      <c r="Q132" t="n">
        <v>0</v>
      </c>
      <c r="R132" s="2" t="inlineStr"/>
    </row>
    <row r="133" ht="15" customHeight="1">
      <c r="A133" t="inlineStr">
        <is>
          <t>A 59433-2024</t>
        </is>
      </c>
      <c r="B133" s="1" t="n">
        <v>45638</v>
      </c>
      <c r="C133" s="1" t="n">
        <v>46202</v>
      </c>
      <c r="D133" t="inlineStr">
        <is>
          <t>JÖNKÖPINGS LÄN</t>
        </is>
      </c>
      <c r="E133" t="inlineStr">
        <is>
          <t>HABO</t>
        </is>
      </c>
      <c r="G133" t="n">
        <v>10.4</v>
      </c>
      <c r="H133" t="n">
        <v>0</v>
      </c>
      <c r="I133" t="n">
        <v>0</v>
      </c>
      <c r="J133" t="n">
        <v>0</v>
      </c>
      <c r="K133" t="n">
        <v>0</v>
      </c>
      <c r="L133" t="n">
        <v>0</v>
      </c>
      <c r="M133" t="n">
        <v>0</v>
      </c>
      <c r="N133" t="n">
        <v>0</v>
      </c>
      <c r="O133" t="n">
        <v>0</v>
      </c>
      <c r="P133" t="n">
        <v>0</v>
      </c>
      <c r="Q133" t="n">
        <v>0</v>
      </c>
      <c r="R133" s="2" t="inlineStr"/>
    </row>
    <row r="134" ht="15" customHeight="1">
      <c r="A134" t="inlineStr">
        <is>
          <t>A 55373-2024</t>
        </is>
      </c>
      <c r="B134" s="1" t="n">
        <v>45621</v>
      </c>
      <c r="C134" s="1" t="n">
        <v>46202</v>
      </c>
      <c r="D134" t="inlineStr">
        <is>
          <t>JÖNKÖPINGS LÄN</t>
        </is>
      </c>
      <c r="E134" t="inlineStr">
        <is>
          <t>HABO</t>
        </is>
      </c>
      <c r="G134" t="n">
        <v>1.7</v>
      </c>
      <c r="H134" t="n">
        <v>0</v>
      </c>
      <c r="I134" t="n">
        <v>0</v>
      </c>
      <c r="J134" t="n">
        <v>0</v>
      </c>
      <c r="K134" t="n">
        <v>0</v>
      </c>
      <c r="L134" t="n">
        <v>0</v>
      </c>
      <c r="M134" t="n">
        <v>0</v>
      </c>
      <c r="N134" t="n">
        <v>0</v>
      </c>
      <c r="O134" t="n">
        <v>0</v>
      </c>
      <c r="P134" t="n">
        <v>0</v>
      </c>
      <c r="Q134" t="n">
        <v>0</v>
      </c>
      <c r="R134" s="2" t="inlineStr"/>
    </row>
    <row r="135" ht="15" customHeight="1">
      <c r="A135" t="inlineStr">
        <is>
          <t>A 32545-2022</t>
        </is>
      </c>
      <c r="B135" s="1" t="n">
        <v>44783</v>
      </c>
      <c r="C135" s="1" t="n">
        <v>46202</v>
      </c>
      <c r="D135" t="inlineStr">
        <is>
          <t>JÖNKÖPINGS LÄN</t>
        </is>
      </c>
      <c r="E135" t="inlineStr">
        <is>
          <t>HABO</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12606-2025</t>
        </is>
      </c>
      <c r="B136" s="1" t="n">
        <v>45733</v>
      </c>
      <c r="C136" s="1" t="n">
        <v>46202</v>
      </c>
      <c r="D136" t="inlineStr">
        <is>
          <t>JÖNKÖPINGS LÄN</t>
        </is>
      </c>
      <c r="E136" t="inlineStr">
        <is>
          <t>HABO</t>
        </is>
      </c>
      <c r="G136" t="n">
        <v>1.7</v>
      </c>
      <c r="H136" t="n">
        <v>0</v>
      </c>
      <c r="I136" t="n">
        <v>0</v>
      </c>
      <c r="J136" t="n">
        <v>0</v>
      </c>
      <c r="K136" t="n">
        <v>0</v>
      </c>
      <c r="L136" t="n">
        <v>0</v>
      </c>
      <c r="M136" t="n">
        <v>0</v>
      </c>
      <c r="N136" t="n">
        <v>0</v>
      </c>
      <c r="O136" t="n">
        <v>0</v>
      </c>
      <c r="P136" t="n">
        <v>0</v>
      </c>
      <c r="Q136" t="n">
        <v>0</v>
      </c>
      <c r="R136" s="2" t="inlineStr"/>
    </row>
    <row r="137" ht="15" customHeight="1">
      <c r="A137" t="inlineStr">
        <is>
          <t>A 49446-2024</t>
        </is>
      </c>
      <c r="B137" s="1" t="n">
        <v>45595</v>
      </c>
      <c r="C137" s="1" t="n">
        <v>46202</v>
      </c>
      <c r="D137" t="inlineStr">
        <is>
          <t>JÖNKÖPINGS LÄN</t>
        </is>
      </c>
      <c r="E137" t="inlineStr">
        <is>
          <t>HABO</t>
        </is>
      </c>
      <c r="G137" t="n">
        <v>1.1</v>
      </c>
      <c r="H137" t="n">
        <v>0</v>
      </c>
      <c r="I137" t="n">
        <v>0</v>
      </c>
      <c r="J137" t="n">
        <v>0</v>
      </c>
      <c r="K137" t="n">
        <v>0</v>
      </c>
      <c r="L137" t="n">
        <v>0</v>
      </c>
      <c r="M137" t="n">
        <v>0</v>
      </c>
      <c r="N137" t="n">
        <v>0</v>
      </c>
      <c r="O137" t="n">
        <v>0</v>
      </c>
      <c r="P137" t="n">
        <v>0</v>
      </c>
      <c r="Q137" t="n">
        <v>0</v>
      </c>
      <c r="R137" s="2" t="inlineStr"/>
    </row>
    <row r="138" ht="15" customHeight="1">
      <c r="A138" t="inlineStr">
        <is>
          <t>A 49449-2024</t>
        </is>
      </c>
      <c r="B138" s="1" t="n">
        <v>45595</v>
      </c>
      <c r="C138" s="1" t="n">
        <v>46202</v>
      </c>
      <c r="D138" t="inlineStr">
        <is>
          <t>JÖNKÖPINGS LÄN</t>
        </is>
      </c>
      <c r="E138" t="inlineStr">
        <is>
          <t>HABO</t>
        </is>
      </c>
      <c r="G138" t="n">
        <v>0.6</v>
      </c>
      <c r="H138" t="n">
        <v>0</v>
      </c>
      <c r="I138" t="n">
        <v>0</v>
      </c>
      <c r="J138" t="n">
        <v>0</v>
      </c>
      <c r="K138" t="n">
        <v>0</v>
      </c>
      <c r="L138" t="n">
        <v>0</v>
      </c>
      <c r="M138" t="n">
        <v>0</v>
      </c>
      <c r="N138" t="n">
        <v>0</v>
      </c>
      <c r="O138" t="n">
        <v>0</v>
      </c>
      <c r="P138" t="n">
        <v>0</v>
      </c>
      <c r="Q138" t="n">
        <v>0</v>
      </c>
      <c r="R138" s="2" t="inlineStr"/>
    </row>
    <row r="139" ht="15" customHeight="1">
      <c r="A139" t="inlineStr">
        <is>
          <t>A 51588-2023</t>
        </is>
      </c>
      <c r="B139" s="1" t="n">
        <v>45222</v>
      </c>
      <c r="C139" s="1" t="n">
        <v>46202</v>
      </c>
      <c r="D139" t="inlineStr">
        <is>
          <t>JÖNKÖPINGS LÄN</t>
        </is>
      </c>
      <c r="E139" t="inlineStr">
        <is>
          <t>HABO</t>
        </is>
      </c>
      <c r="G139" t="n">
        <v>3</v>
      </c>
      <c r="H139" t="n">
        <v>0</v>
      </c>
      <c r="I139" t="n">
        <v>0</v>
      </c>
      <c r="J139" t="n">
        <v>0</v>
      </c>
      <c r="K139" t="n">
        <v>0</v>
      </c>
      <c r="L139" t="n">
        <v>0</v>
      </c>
      <c r="M139" t="n">
        <v>0</v>
      </c>
      <c r="N139" t="n">
        <v>0</v>
      </c>
      <c r="O139" t="n">
        <v>0</v>
      </c>
      <c r="P139" t="n">
        <v>0</v>
      </c>
      <c r="Q139" t="n">
        <v>0</v>
      </c>
      <c r="R139" s="2" t="inlineStr"/>
    </row>
    <row r="140" ht="15" customHeight="1">
      <c r="A140" t="inlineStr">
        <is>
          <t>A 40883-2023</t>
        </is>
      </c>
      <c r="B140" s="1" t="n">
        <v>45173</v>
      </c>
      <c r="C140" s="1" t="n">
        <v>46202</v>
      </c>
      <c r="D140" t="inlineStr">
        <is>
          <t>JÖNKÖPINGS LÄN</t>
        </is>
      </c>
      <c r="E140" t="inlineStr">
        <is>
          <t>HABO</t>
        </is>
      </c>
      <c r="G140" t="n">
        <v>1.4</v>
      </c>
      <c r="H140" t="n">
        <v>0</v>
      </c>
      <c r="I140" t="n">
        <v>0</v>
      </c>
      <c r="J140" t="n">
        <v>0</v>
      </c>
      <c r="K140" t="n">
        <v>0</v>
      </c>
      <c r="L140" t="n">
        <v>0</v>
      </c>
      <c r="M140" t="n">
        <v>0</v>
      </c>
      <c r="N140" t="n">
        <v>0</v>
      </c>
      <c r="O140" t="n">
        <v>0</v>
      </c>
      <c r="P140" t="n">
        <v>0</v>
      </c>
      <c r="Q140" t="n">
        <v>0</v>
      </c>
      <c r="R140" s="2" t="inlineStr"/>
    </row>
    <row r="141" ht="15" customHeight="1">
      <c r="A141" t="inlineStr">
        <is>
          <t>A 16726-2023</t>
        </is>
      </c>
      <c r="B141" s="1" t="n">
        <v>45030</v>
      </c>
      <c r="C141" s="1" t="n">
        <v>46202</v>
      </c>
      <c r="D141" t="inlineStr">
        <is>
          <t>JÖNKÖPINGS LÄN</t>
        </is>
      </c>
      <c r="E141" t="inlineStr">
        <is>
          <t>HABO</t>
        </is>
      </c>
      <c r="G141" t="n">
        <v>0.7</v>
      </c>
      <c r="H141" t="n">
        <v>0</v>
      </c>
      <c r="I141" t="n">
        <v>0</v>
      </c>
      <c r="J141" t="n">
        <v>0</v>
      </c>
      <c r="K141" t="n">
        <v>0</v>
      </c>
      <c r="L141" t="n">
        <v>0</v>
      </c>
      <c r="M141" t="n">
        <v>0</v>
      </c>
      <c r="N141" t="n">
        <v>0</v>
      </c>
      <c r="O141" t="n">
        <v>0</v>
      </c>
      <c r="P141" t="n">
        <v>0</v>
      </c>
      <c r="Q141" t="n">
        <v>0</v>
      </c>
      <c r="R141" s="2" t="inlineStr"/>
    </row>
    <row r="142" ht="15" customHeight="1">
      <c r="A142" t="inlineStr">
        <is>
          <t>A 40638-2024</t>
        </is>
      </c>
      <c r="B142" s="1" t="n">
        <v>45558</v>
      </c>
      <c r="C142" s="1" t="n">
        <v>46202</v>
      </c>
      <c r="D142" t="inlineStr">
        <is>
          <t>JÖNKÖPINGS LÄN</t>
        </is>
      </c>
      <c r="E142" t="inlineStr">
        <is>
          <t>HABO</t>
        </is>
      </c>
      <c r="G142" t="n">
        <v>0.5</v>
      </c>
      <c r="H142" t="n">
        <v>0</v>
      </c>
      <c r="I142" t="n">
        <v>0</v>
      </c>
      <c r="J142" t="n">
        <v>0</v>
      </c>
      <c r="K142" t="n">
        <v>0</v>
      </c>
      <c r="L142" t="n">
        <v>0</v>
      </c>
      <c r="M142" t="n">
        <v>0</v>
      </c>
      <c r="N142" t="n">
        <v>0</v>
      </c>
      <c r="O142" t="n">
        <v>0</v>
      </c>
      <c r="P142" t="n">
        <v>0</v>
      </c>
      <c r="Q142" t="n">
        <v>0</v>
      </c>
      <c r="R142" s="2" t="inlineStr"/>
    </row>
    <row r="143" ht="15" customHeight="1">
      <c r="A143" t="inlineStr">
        <is>
          <t>A 3710-2023</t>
        </is>
      </c>
      <c r="B143" s="1" t="n">
        <v>44951</v>
      </c>
      <c r="C143" s="1" t="n">
        <v>46202</v>
      </c>
      <c r="D143" t="inlineStr">
        <is>
          <t>JÖNKÖPINGS LÄN</t>
        </is>
      </c>
      <c r="E143" t="inlineStr">
        <is>
          <t>HABO</t>
        </is>
      </c>
      <c r="G143" t="n">
        <v>1.7</v>
      </c>
      <c r="H143" t="n">
        <v>0</v>
      </c>
      <c r="I143" t="n">
        <v>0</v>
      </c>
      <c r="J143" t="n">
        <v>0</v>
      </c>
      <c r="K143" t="n">
        <v>0</v>
      </c>
      <c r="L143" t="n">
        <v>0</v>
      </c>
      <c r="M143" t="n">
        <v>0</v>
      </c>
      <c r="N143" t="n">
        <v>0</v>
      </c>
      <c r="O143" t="n">
        <v>0</v>
      </c>
      <c r="P143" t="n">
        <v>0</v>
      </c>
      <c r="Q143" t="n">
        <v>0</v>
      </c>
      <c r="R143" s="2" t="inlineStr"/>
    </row>
    <row r="144" ht="15" customHeight="1">
      <c r="A144" t="inlineStr">
        <is>
          <t>A 48894-2024</t>
        </is>
      </c>
      <c r="B144" s="1" t="n">
        <v>45594</v>
      </c>
      <c r="C144" s="1" t="n">
        <v>46202</v>
      </c>
      <c r="D144" t="inlineStr">
        <is>
          <t>JÖNKÖPINGS LÄN</t>
        </is>
      </c>
      <c r="E144" t="inlineStr">
        <is>
          <t>HABO</t>
        </is>
      </c>
      <c r="G144" t="n">
        <v>1</v>
      </c>
      <c r="H144" t="n">
        <v>0</v>
      </c>
      <c r="I144" t="n">
        <v>0</v>
      </c>
      <c r="J144" t="n">
        <v>0</v>
      </c>
      <c r="K144" t="n">
        <v>0</v>
      </c>
      <c r="L144" t="n">
        <v>0</v>
      </c>
      <c r="M144" t="n">
        <v>0</v>
      </c>
      <c r="N144" t="n">
        <v>0</v>
      </c>
      <c r="O144" t="n">
        <v>0</v>
      </c>
      <c r="P144" t="n">
        <v>0</v>
      </c>
      <c r="Q144" t="n">
        <v>0</v>
      </c>
      <c r="R144" s="2" t="inlineStr"/>
    </row>
    <row r="145" ht="15" customHeight="1">
      <c r="A145" t="inlineStr">
        <is>
          <t>A 49168-2023</t>
        </is>
      </c>
      <c r="B145" s="1" t="n">
        <v>45210</v>
      </c>
      <c r="C145" s="1" t="n">
        <v>46202</v>
      </c>
      <c r="D145" t="inlineStr">
        <is>
          <t>JÖNKÖPINGS LÄN</t>
        </is>
      </c>
      <c r="E145" t="inlineStr">
        <is>
          <t>HABO</t>
        </is>
      </c>
      <c r="G145" t="n">
        <v>2.6</v>
      </c>
      <c r="H145" t="n">
        <v>0</v>
      </c>
      <c r="I145" t="n">
        <v>0</v>
      </c>
      <c r="J145" t="n">
        <v>0</v>
      </c>
      <c r="K145" t="n">
        <v>0</v>
      </c>
      <c r="L145" t="n">
        <v>0</v>
      </c>
      <c r="M145" t="n">
        <v>0</v>
      </c>
      <c r="N145" t="n">
        <v>0</v>
      </c>
      <c r="O145" t="n">
        <v>0</v>
      </c>
      <c r="P145" t="n">
        <v>0</v>
      </c>
      <c r="Q145" t="n">
        <v>0</v>
      </c>
      <c r="R145" s="2" t="inlineStr"/>
    </row>
    <row r="146" ht="15" customHeight="1">
      <c r="A146" t="inlineStr">
        <is>
          <t>A 63922-2023</t>
        </is>
      </c>
      <c r="B146" s="1" t="n">
        <v>45278</v>
      </c>
      <c r="C146" s="1" t="n">
        <v>46202</v>
      </c>
      <c r="D146" t="inlineStr">
        <is>
          <t>JÖNKÖPINGS LÄN</t>
        </is>
      </c>
      <c r="E146" t="inlineStr">
        <is>
          <t>HABO</t>
        </is>
      </c>
      <c r="G146" t="n">
        <v>1.4</v>
      </c>
      <c r="H146" t="n">
        <v>0</v>
      </c>
      <c r="I146" t="n">
        <v>0</v>
      </c>
      <c r="J146" t="n">
        <v>0</v>
      </c>
      <c r="K146" t="n">
        <v>0</v>
      </c>
      <c r="L146" t="n">
        <v>0</v>
      </c>
      <c r="M146" t="n">
        <v>0</v>
      </c>
      <c r="N146" t="n">
        <v>0</v>
      </c>
      <c r="O146" t="n">
        <v>0</v>
      </c>
      <c r="P146" t="n">
        <v>0</v>
      </c>
      <c r="Q146" t="n">
        <v>0</v>
      </c>
      <c r="R146" s="2" t="inlineStr"/>
    </row>
    <row r="147" ht="15" customHeight="1">
      <c r="A147" t="inlineStr">
        <is>
          <t>A 56767-2022</t>
        </is>
      </c>
      <c r="B147" s="1" t="n">
        <v>44894</v>
      </c>
      <c r="C147" s="1" t="n">
        <v>46202</v>
      </c>
      <c r="D147" t="inlineStr">
        <is>
          <t>JÖNKÖPINGS LÄN</t>
        </is>
      </c>
      <c r="E147" t="inlineStr">
        <is>
          <t>HABO</t>
        </is>
      </c>
      <c r="G147" t="n">
        <v>0.5</v>
      </c>
      <c r="H147" t="n">
        <v>0</v>
      </c>
      <c r="I147" t="n">
        <v>0</v>
      </c>
      <c r="J147" t="n">
        <v>0</v>
      </c>
      <c r="K147" t="n">
        <v>0</v>
      </c>
      <c r="L147" t="n">
        <v>0</v>
      </c>
      <c r="M147" t="n">
        <v>0</v>
      </c>
      <c r="N147" t="n">
        <v>0</v>
      </c>
      <c r="O147" t="n">
        <v>0</v>
      </c>
      <c r="P147" t="n">
        <v>0</v>
      </c>
      <c r="Q147" t="n">
        <v>0</v>
      </c>
      <c r="R147" s="2" t="inlineStr"/>
    </row>
    <row r="148" ht="15" customHeight="1">
      <c r="A148" t="inlineStr">
        <is>
          <t>A 27796-2024</t>
        </is>
      </c>
      <c r="B148" s="1" t="n">
        <v>45475</v>
      </c>
      <c r="C148" s="1" t="n">
        <v>46202</v>
      </c>
      <c r="D148" t="inlineStr">
        <is>
          <t>JÖNKÖPINGS LÄN</t>
        </is>
      </c>
      <c r="E148" t="inlineStr">
        <is>
          <t>HABO</t>
        </is>
      </c>
      <c r="G148" t="n">
        <v>1.9</v>
      </c>
      <c r="H148" t="n">
        <v>0</v>
      </c>
      <c r="I148" t="n">
        <v>0</v>
      </c>
      <c r="J148" t="n">
        <v>0</v>
      </c>
      <c r="K148" t="n">
        <v>0</v>
      </c>
      <c r="L148" t="n">
        <v>0</v>
      </c>
      <c r="M148" t="n">
        <v>0</v>
      </c>
      <c r="N148" t="n">
        <v>0</v>
      </c>
      <c r="O148" t="n">
        <v>0</v>
      </c>
      <c r="P148" t="n">
        <v>0</v>
      </c>
      <c r="Q148" t="n">
        <v>0</v>
      </c>
      <c r="R148" s="2" t="inlineStr"/>
    </row>
    <row r="149" ht="15" customHeight="1">
      <c r="A149" t="inlineStr">
        <is>
          <t>A 26329-2024</t>
        </is>
      </c>
      <c r="B149" s="1" t="n">
        <v>45469</v>
      </c>
      <c r="C149" s="1" t="n">
        <v>46202</v>
      </c>
      <c r="D149" t="inlineStr">
        <is>
          <t>JÖNKÖPINGS LÄN</t>
        </is>
      </c>
      <c r="E149" t="inlineStr">
        <is>
          <t>HABO</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49447-2024</t>
        </is>
      </c>
      <c r="B150" s="1" t="n">
        <v>45595</v>
      </c>
      <c r="C150" s="1" t="n">
        <v>46202</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28813-2022</t>
        </is>
      </c>
      <c r="B151" s="1" t="n">
        <v>44749</v>
      </c>
      <c r="C151" s="1" t="n">
        <v>46202</v>
      </c>
      <c r="D151" t="inlineStr">
        <is>
          <t>JÖNKÖPINGS LÄN</t>
        </is>
      </c>
      <c r="E151" t="inlineStr">
        <is>
          <t>HABO</t>
        </is>
      </c>
      <c r="G151" t="n">
        <v>4.5</v>
      </c>
      <c r="H151" t="n">
        <v>0</v>
      </c>
      <c r="I151" t="n">
        <v>0</v>
      </c>
      <c r="J151" t="n">
        <v>0</v>
      </c>
      <c r="K151" t="n">
        <v>0</v>
      </c>
      <c r="L151" t="n">
        <v>0</v>
      </c>
      <c r="M151" t="n">
        <v>0</v>
      </c>
      <c r="N151" t="n">
        <v>0</v>
      </c>
      <c r="O151" t="n">
        <v>0</v>
      </c>
      <c r="P151" t="n">
        <v>0</v>
      </c>
      <c r="Q151" t="n">
        <v>0</v>
      </c>
      <c r="R151" s="2" t="inlineStr"/>
    </row>
    <row r="152" ht="15" customHeight="1">
      <c r="A152" t="inlineStr">
        <is>
          <t>A 28816-2022</t>
        </is>
      </c>
      <c r="B152" s="1" t="n">
        <v>44749</v>
      </c>
      <c r="C152" s="1" t="n">
        <v>46202</v>
      </c>
      <c r="D152" t="inlineStr">
        <is>
          <t>JÖNKÖPINGS LÄN</t>
        </is>
      </c>
      <c r="E152" t="inlineStr">
        <is>
          <t>HABO</t>
        </is>
      </c>
      <c r="G152" t="n">
        <v>5.2</v>
      </c>
      <c r="H152" t="n">
        <v>0</v>
      </c>
      <c r="I152" t="n">
        <v>0</v>
      </c>
      <c r="J152" t="n">
        <v>0</v>
      </c>
      <c r="K152" t="n">
        <v>0</v>
      </c>
      <c r="L152" t="n">
        <v>0</v>
      </c>
      <c r="M152" t="n">
        <v>0</v>
      </c>
      <c r="N152" t="n">
        <v>0</v>
      </c>
      <c r="O152" t="n">
        <v>0</v>
      </c>
      <c r="P152" t="n">
        <v>0</v>
      </c>
      <c r="Q152" t="n">
        <v>0</v>
      </c>
      <c r="R152" s="2" t="inlineStr"/>
    </row>
    <row r="153" ht="15" customHeight="1">
      <c r="A153" t="inlineStr">
        <is>
          <t>A 55368-2024</t>
        </is>
      </c>
      <c r="B153" s="1" t="n">
        <v>45621</v>
      </c>
      <c r="C153" s="1" t="n">
        <v>46202</v>
      </c>
      <c r="D153" t="inlineStr">
        <is>
          <t>JÖNKÖPINGS LÄN</t>
        </is>
      </c>
      <c r="E153" t="inlineStr">
        <is>
          <t>HABO</t>
        </is>
      </c>
      <c r="G153" t="n">
        <v>4.6</v>
      </c>
      <c r="H153" t="n">
        <v>0</v>
      </c>
      <c r="I153" t="n">
        <v>0</v>
      </c>
      <c r="J153" t="n">
        <v>0</v>
      </c>
      <c r="K153" t="n">
        <v>0</v>
      </c>
      <c r="L153" t="n">
        <v>0</v>
      </c>
      <c r="M153" t="n">
        <v>0</v>
      </c>
      <c r="N153" t="n">
        <v>0</v>
      </c>
      <c r="O153" t="n">
        <v>0</v>
      </c>
      <c r="P153" t="n">
        <v>0</v>
      </c>
      <c r="Q153" t="n">
        <v>0</v>
      </c>
      <c r="R153" s="2" t="inlineStr"/>
    </row>
    <row r="154" ht="15" customHeight="1">
      <c r="A154" t="inlineStr">
        <is>
          <t>A 55375-2024</t>
        </is>
      </c>
      <c r="B154" s="1" t="n">
        <v>45621</v>
      </c>
      <c r="C154" s="1" t="n">
        <v>46202</v>
      </c>
      <c r="D154" t="inlineStr">
        <is>
          <t>JÖNKÖPINGS LÄN</t>
        </is>
      </c>
      <c r="E154" t="inlineStr">
        <is>
          <t>HABO</t>
        </is>
      </c>
      <c r="G154" t="n">
        <v>3.3</v>
      </c>
      <c r="H154" t="n">
        <v>0</v>
      </c>
      <c r="I154" t="n">
        <v>0</v>
      </c>
      <c r="J154" t="n">
        <v>0</v>
      </c>
      <c r="K154" t="n">
        <v>0</v>
      </c>
      <c r="L154" t="n">
        <v>0</v>
      </c>
      <c r="M154" t="n">
        <v>0</v>
      </c>
      <c r="N154" t="n">
        <v>0</v>
      </c>
      <c r="O154" t="n">
        <v>0</v>
      </c>
      <c r="P154" t="n">
        <v>0</v>
      </c>
      <c r="Q154" t="n">
        <v>0</v>
      </c>
      <c r="R154" s="2" t="inlineStr"/>
    </row>
    <row r="155" ht="15" customHeight="1">
      <c r="A155" t="inlineStr">
        <is>
          <t>A 49433-2024</t>
        </is>
      </c>
      <c r="B155" s="1" t="n">
        <v>45595</v>
      </c>
      <c r="C155" s="1" t="n">
        <v>46202</v>
      </c>
      <c r="D155" t="inlineStr">
        <is>
          <t>JÖNKÖPINGS LÄN</t>
        </is>
      </c>
      <c r="E155" t="inlineStr">
        <is>
          <t>HABO</t>
        </is>
      </c>
      <c r="G155" t="n">
        <v>5</v>
      </c>
      <c r="H155" t="n">
        <v>0</v>
      </c>
      <c r="I155" t="n">
        <v>0</v>
      </c>
      <c r="J155" t="n">
        <v>0</v>
      </c>
      <c r="K155" t="n">
        <v>0</v>
      </c>
      <c r="L155" t="n">
        <v>0</v>
      </c>
      <c r="M155" t="n">
        <v>0</v>
      </c>
      <c r="N155" t="n">
        <v>0</v>
      </c>
      <c r="O155" t="n">
        <v>0</v>
      </c>
      <c r="P155" t="n">
        <v>0</v>
      </c>
      <c r="Q155" t="n">
        <v>0</v>
      </c>
      <c r="R155" s="2" t="inlineStr"/>
    </row>
    <row r="156" ht="15" customHeight="1">
      <c r="A156" t="inlineStr">
        <is>
          <t>A 57360-2022</t>
        </is>
      </c>
      <c r="B156" s="1" t="n">
        <v>44896</v>
      </c>
      <c r="C156" s="1" t="n">
        <v>46202</v>
      </c>
      <c r="D156" t="inlineStr">
        <is>
          <t>JÖNKÖPINGS LÄN</t>
        </is>
      </c>
      <c r="E156" t="inlineStr">
        <is>
          <t>HABO</t>
        </is>
      </c>
      <c r="G156" t="n">
        <v>1.8</v>
      </c>
      <c r="H156" t="n">
        <v>0</v>
      </c>
      <c r="I156" t="n">
        <v>0</v>
      </c>
      <c r="J156" t="n">
        <v>0</v>
      </c>
      <c r="K156" t="n">
        <v>0</v>
      </c>
      <c r="L156" t="n">
        <v>0</v>
      </c>
      <c r="M156" t="n">
        <v>0</v>
      </c>
      <c r="N156" t="n">
        <v>0</v>
      </c>
      <c r="O156" t="n">
        <v>0</v>
      </c>
      <c r="P156" t="n">
        <v>0</v>
      </c>
      <c r="Q156" t="n">
        <v>0</v>
      </c>
      <c r="R156" s="2" t="inlineStr"/>
    </row>
    <row r="157" ht="15" customHeight="1">
      <c r="A157" t="inlineStr">
        <is>
          <t>A 49855-2024</t>
        </is>
      </c>
      <c r="B157" s="1" t="n">
        <v>45597</v>
      </c>
      <c r="C157" s="1" t="n">
        <v>46202</v>
      </c>
      <c r="D157" t="inlineStr">
        <is>
          <t>JÖNKÖPINGS LÄN</t>
        </is>
      </c>
      <c r="E157" t="inlineStr">
        <is>
          <t>HABO</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26711-2024</t>
        </is>
      </c>
      <c r="B158" s="1" t="n">
        <v>45470</v>
      </c>
      <c r="C158" s="1" t="n">
        <v>46202</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54989-2024</t>
        </is>
      </c>
      <c r="B159" s="1" t="n">
        <v>45620</v>
      </c>
      <c r="C159" s="1" t="n">
        <v>46202</v>
      </c>
      <c r="D159" t="inlineStr">
        <is>
          <t>JÖNKÖPINGS LÄN</t>
        </is>
      </c>
      <c r="E159" t="inlineStr">
        <is>
          <t>HABO</t>
        </is>
      </c>
      <c r="G159" t="n">
        <v>2.1</v>
      </c>
      <c r="H159" t="n">
        <v>0</v>
      </c>
      <c r="I159" t="n">
        <v>0</v>
      </c>
      <c r="J159" t="n">
        <v>0</v>
      </c>
      <c r="K159" t="n">
        <v>0</v>
      </c>
      <c r="L159" t="n">
        <v>0</v>
      </c>
      <c r="M159" t="n">
        <v>0</v>
      </c>
      <c r="N159" t="n">
        <v>0</v>
      </c>
      <c r="O159" t="n">
        <v>0</v>
      </c>
      <c r="P159" t="n">
        <v>0</v>
      </c>
      <c r="Q159" t="n">
        <v>0</v>
      </c>
      <c r="R159" s="2" t="inlineStr"/>
    </row>
    <row r="160" ht="15" customHeight="1">
      <c r="A160" t="inlineStr">
        <is>
          <t>A 54990-2024</t>
        </is>
      </c>
      <c r="B160" s="1" t="n">
        <v>45620</v>
      </c>
      <c r="C160" s="1" t="n">
        <v>46202</v>
      </c>
      <c r="D160" t="inlineStr">
        <is>
          <t>JÖNKÖPINGS LÄN</t>
        </is>
      </c>
      <c r="E160" t="inlineStr">
        <is>
          <t>HABO</t>
        </is>
      </c>
      <c r="G160" t="n">
        <v>0.9</v>
      </c>
      <c r="H160" t="n">
        <v>0</v>
      </c>
      <c r="I160" t="n">
        <v>0</v>
      </c>
      <c r="J160" t="n">
        <v>0</v>
      </c>
      <c r="K160" t="n">
        <v>0</v>
      </c>
      <c r="L160" t="n">
        <v>0</v>
      </c>
      <c r="M160" t="n">
        <v>0</v>
      </c>
      <c r="N160" t="n">
        <v>0</v>
      </c>
      <c r="O160" t="n">
        <v>0</v>
      </c>
      <c r="P160" t="n">
        <v>0</v>
      </c>
      <c r="Q160" t="n">
        <v>0</v>
      </c>
      <c r="R160" s="2" t="inlineStr"/>
    </row>
    <row r="161" ht="15" customHeight="1">
      <c r="A161" t="inlineStr">
        <is>
          <t>A 60679-2024</t>
        </is>
      </c>
      <c r="B161" s="1" t="n">
        <v>45644</v>
      </c>
      <c r="C161" s="1" t="n">
        <v>46202</v>
      </c>
      <c r="D161" t="inlineStr">
        <is>
          <t>JÖNKÖPINGS LÄN</t>
        </is>
      </c>
      <c r="E161" t="inlineStr">
        <is>
          <t>HABO</t>
        </is>
      </c>
      <c r="G161" t="n">
        <v>1</v>
      </c>
      <c r="H161" t="n">
        <v>0</v>
      </c>
      <c r="I161" t="n">
        <v>0</v>
      </c>
      <c r="J161" t="n">
        <v>0</v>
      </c>
      <c r="K161" t="n">
        <v>0</v>
      </c>
      <c r="L161" t="n">
        <v>0</v>
      </c>
      <c r="M161" t="n">
        <v>0</v>
      </c>
      <c r="N161" t="n">
        <v>0</v>
      </c>
      <c r="O161" t="n">
        <v>0</v>
      </c>
      <c r="P161" t="n">
        <v>0</v>
      </c>
      <c r="Q161" t="n">
        <v>0</v>
      </c>
      <c r="R161" s="2" t="inlineStr"/>
    </row>
    <row r="162" ht="15" customHeight="1">
      <c r="A162" t="inlineStr">
        <is>
          <t>A 32329-2023</t>
        </is>
      </c>
      <c r="B162" s="1" t="n">
        <v>45120</v>
      </c>
      <c r="C162" s="1" t="n">
        <v>46202</v>
      </c>
      <c r="D162" t="inlineStr">
        <is>
          <t>JÖNKÖPINGS LÄN</t>
        </is>
      </c>
      <c r="E162" t="inlineStr">
        <is>
          <t>HABO</t>
        </is>
      </c>
      <c r="G162" t="n">
        <v>4.8</v>
      </c>
      <c r="H162" t="n">
        <v>0</v>
      </c>
      <c r="I162" t="n">
        <v>0</v>
      </c>
      <c r="J162" t="n">
        <v>0</v>
      </c>
      <c r="K162" t="n">
        <v>0</v>
      </c>
      <c r="L162" t="n">
        <v>0</v>
      </c>
      <c r="M162" t="n">
        <v>0</v>
      </c>
      <c r="N162" t="n">
        <v>0</v>
      </c>
      <c r="O162" t="n">
        <v>0</v>
      </c>
      <c r="P162" t="n">
        <v>0</v>
      </c>
      <c r="Q162" t="n">
        <v>0</v>
      </c>
      <c r="R162" s="2" t="inlineStr"/>
    </row>
    <row r="163" ht="15" customHeight="1">
      <c r="A163" t="inlineStr">
        <is>
          <t>A 32235-2023</t>
        </is>
      </c>
      <c r="B163" s="1" t="n">
        <v>45119</v>
      </c>
      <c r="C163" s="1" t="n">
        <v>46202</v>
      </c>
      <c r="D163" t="inlineStr">
        <is>
          <t>JÖNKÖPINGS LÄN</t>
        </is>
      </c>
      <c r="E163" t="inlineStr">
        <is>
          <t>HABO</t>
        </is>
      </c>
      <c r="G163" t="n">
        <v>7.1</v>
      </c>
      <c r="H163" t="n">
        <v>0</v>
      </c>
      <c r="I163" t="n">
        <v>0</v>
      </c>
      <c r="J163" t="n">
        <v>0</v>
      </c>
      <c r="K163" t="n">
        <v>0</v>
      </c>
      <c r="L163" t="n">
        <v>0</v>
      </c>
      <c r="M163" t="n">
        <v>0</v>
      </c>
      <c r="N163" t="n">
        <v>0</v>
      </c>
      <c r="O163" t="n">
        <v>0</v>
      </c>
      <c r="P163" t="n">
        <v>0</v>
      </c>
      <c r="Q163" t="n">
        <v>0</v>
      </c>
      <c r="R163" s="2" t="inlineStr"/>
    </row>
    <row r="164" ht="15" customHeight="1">
      <c r="A164" t="inlineStr">
        <is>
          <t>A 32236-2023</t>
        </is>
      </c>
      <c r="B164" s="1" t="n">
        <v>45119</v>
      </c>
      <c r="C164" s="1" t="n">
        <v>46202</v>
      </c>
      <c r="D164" t="inlineStr">
        <is>
          <t>JÖNKÖPINGS LÄN</t>
        </is>
      </c>
      <c r="E164" t="inlineStr">
        <is>
          <t>HABO</t>
        </is>
      </c>
      <c r="G164" t="n">
        <v>1.3</v>
      </c>
      <c r="H164" t="n">
        <v>0</v>
      </c>
      <c r="I164" t="n">
        <v>0</v>
      </c>
      <c r="J164" t="n">
        <v>0</v>
      </c>
      <c r="K164" t="n">
        <v>0</v>
      </c>
      <c r="L164" t="n">
        <v>0</v>
      </c>
      <c r="M164" t="n">
        <v>0</v>
      </c>
      <c r="N164" t="n">
        <v>0</v>
      </c>
      <c r="O164" t="n">
        <v>0</v>
      </c>
      <c r="P164" t="n">
        <v>0</v>
      </c>
      <c r="Q164" t="n">
        <v>0</v>
      </c>
      <c r="R164" s="2" t="inlineStr"/>
    </row>
    <row r="165" ht="15" customHeight="1">
      <c r="A165" t="inlineStr">
        <is>
          <t>A 58452-2021</t>
        </is>
      </c>
      <c r="B165" s="1" t="n">
        <v>44488</v>
      </c>
      <c r="C165" s="1" t="n">
        <v>46202</v>
      </c>
      <c r="D165" t="inlineStr">
        <is>
          <t>JÖNKÖPINGS LÄN</t>
        </is>
      </c>
      <c r="E165" t="inlineStr">
        <is>
          <t>HABO</t>
        </is>
      </c>
      <c r="G165" t="n">
        <v>2.1</v>
      </c>
      <c r="H165" t="n">
        <v>0</v>
      </c>
      <c r="I165" t="n">
        <v>0</v>
      </c>
      <c r="J165" t="n">
        <v>0</v>
      </c>
      <c r="K165" t="n">
        <v>0</v>
      </c>
      <c r="L165" t="n">
        <v>0</v>
      </c>
      <c r="M165" t="n">
        <v>0</v>
      </c>
      <c r="N165" t="n">
        <v>0</v>
      </c>
      <c r="O165" t="n">
        <v>0</v>
      </c>
      <c r="P165" t="n">
        <v>0</v>
      </c>
      <c r="Q165" t="n">
        <v>0</v>
      </c>
      <c r="R165" s="2" t="inlineStr"/>
    </row>
    <row r="166" ht="15" customHeight="1">
      <c r="A166" t="inlineStr">
        <is>
          <t>A 58458-2021</t>
        </is>
      </c>
      <c r="B166" s="1" t="n">
        <v>44488</v>
      </c>
      <c r="C166" s="1" t="n">
        <v>46202</v>
      </c>
      <c r="D166" t="inlineStr">
        <is>
          <t>JÖNKÖPINGS LÄN</t>
        </is>
      </c>
      <c r="E166" t="inlineStr">
        <is>
          <t>HABO</t>
        </is>
      </c>
      <c r="G166" t="n">
        <v>1.5</v>
      </c>
      <c r="H166" t="n">
        <v>0</v>
      </c>
      <c r="I166" t="n">
        <v>0</v>
      </c>
      <c r="J166" t="n">
        <v>0</v>
      </c>
      <c r="K166" t="n">
        <v>0</v>
      </c>
      <c r="L166" t="n">
        <v>0</v>
      </c>
      <c r="M166" t="n">
        <v>0</v>
      </c>
      <c r="N166" t="n">
        <v>0</v>
      </c>
      <c r="O166" t="n">
        <v>0</v>
      </c>
      <c r="P166" t="n">
        <v>0</v>
      </c>
      <c r="Q166" t="n">
        <v>0</v>
      </c>
      <c r="R166" s="2" t="inlineStr"/>
    </row>
    <row r="167" ht="15" customHeight="1">
      <c r="A167" t="inlineStr">
        <is>
          <t>A 16459-2025</t>
        </is>
      </c>
      <c r="B167" s="1" t="n">
        <v>45751</v>
      </c>
      <c r="C167" s="1" t="n">
        <v>46202</v>
      </c>
      <c r="D167" t="inlineStr">
        <is>
          <t>JÖNKÖPINGS LÄN</t>
        </is>
      </c>
      <c r="E167" t="inlineStr">
        <is>
          <t>HABO</t>
        </is>
      </c>
      <c r="G167" t="n">
        <v>0.9</v>
      </c>
      <c r="H167" t="n">
        <v>0</v>
      </c>
      <c r="I167" t="n">
        <v>0</v>
      </c>
      <c r="J167" t="n">
        <v>0</v>
      </c>
      <c r="K167" t="n">
        <v>0</v>
      </c>
      <c r="L167" t="n">
        <v>0</v>
      </c>
      <c r="M167" t="n">
        <v>0</v>
      </c>
      <c r="N167" t="n">
        <v>0</v>
      </c>
      <c r="O167" t="n">
        <v>0</v>
      </c>
      <c r="P167" t="n">
        <v>0</v>
      </c>
      <c r="Q167" t="n">
        <v>0</v>
      </c>
      <c r="R167" s="2" t="inlineStr"/>
    </row>
    <row r="168" ht="15" customHeight="1">
      <c r="A168" t="inlineStr">
        <is>
          <t>A 11075-2022</t>
        </is>
      </c>
      <c r="B168" s="1" t="n">
        <v>44628</v>
      </c>
      <c r="C168" s="1" t="n">
        <v>46202</v>
      </c>
      <c r="D168" t="inlineStr">
        <is>
          <t>JÖNKÖPINGS LÄN</t>
        </is>
      </c>
      <c r="E168" t="inlineStr">
        <is>
          <t>HABO</t>
        </is>
      </c>
      <c r="G168" t="n">
        <v>2.5</v>
      </c>
      <c r="H168" t="n">
        <v>0</v>
      </c>
      <c r="I168" t="n">
        <v>0</v>
      </c>
      <c r="J168" t="n">
        <v>0</v>
      </c>
      <c r="K168" t="n">
        <v>0</v>
      </c>
      <c r="L168" t="n">
        <v>0</v>
      </c>
      <c r="M168" t="n">
        <v>0</v>
      </c>
      <c r="N168" t="n">
        <v>0</v>
      </c>
      <c r="O168" t="n">
        <v>0</v>
      </c>
      <c r="P168" t="n">
        <v>0</v>
      </c>
      <c r="Q168" t="n">
        <v>0</v>
      </c>
      <c r="R168" s="2" t="inlineStr"/>
    </row>
    <row r="169" ht="15" customHeight="1">
      <c r="A169" t="inlineStr">
        <is>
          <t>A 28135-2023</t>
        </is>
      </c>
      <c r="B169" s="1" t="n">
        <v>45099</v>
      </c>
      <c r="C169" s="1" t="n">
        <v>46202</v>
      </c>
      <c r="D169" t="inlineStr">
        <is>
          <t>JÖNKÖPINGS LÄN</t>
        </is>
      </c>
      <c r="E169" t="inlineStr">
        <is>
          <t>HABO</t>
        </is>
      </c>
      <c r="G169" t="n">
        <v>2.4</v>
      </c>
      <c r="H169" t="n">
        <v>0</v>
      </c>
      <c r="I169" t="n">
        <v>0</v>
      </c>
      <c r="J169" t="n">
        <v>0</v>
      </c>
      <c r="K169" t="n">
        <v>0</v>
      </c>
      <c r="L169" t="n">
        <v>0</v>
      </c>
      <c r="M169" t="n">
        <v>0</v>
      </c>
      <c r="N169" t="n">
        <v>0</v>
      </c>
      <c r="O169" t="n">
        <v>0</v>
      </c>
      <c r="P169" t="n">
        <v>0</v>
      </c>
      <c r="Q169" t="n">
        <v>0</v>
      </c>
      <c r="R169" s="2" t="inlineStr"/>
    </row>
    <row r="170" ht="15" customHeight="1">
      <c r="A170" t="inlineStr">
        <is>
          <t>A 34738-2021</t>
        </is>
      </c>
      <c r="B170" s="1" t="n">
        <v>44382</v>
      </c>
      <c r="C170" s="1" t="n">
        <v>46202</v>
      </c>
      <c r="D170" t="inlineStr">
        <is>
          <t>JÖNKÖPINGS LÄN</t>
        </is>
      </c>
      <c r="E170" t="inlineStr">
        <is>
          <t>HABO</t>
        </is>
      </c>
      <c r="G170" t="n">
        <v>1.2</v>
      </c>
      <c r="H170" t="n">
        <v>0</v>
      </c>
      <c r="I170" t="n">
        <v>0</v>
      </c>
      <c r="J170" t="n">
        <v>0</v>
      </c>
      <c r="K170" t="n">
        <v>0</v>
      </c>
      <c r="L170" t="n">
        <v>0</v>
      </c>
      <c r="M170" t="n">
        <v>0</v>
      </c>
      <c r="N170" t="n">
        <v>0</v>
      </c>
      <c r="O170" t="n">
        <v>0</v>
      </c>
      <c r="P170" t="n">
        <v>0</v>
      </c>
      <c r="Q170" t="n">
        <v>0</v>
      </c>
      <c r="R170" s="2" t="inlineStr"/>
    </row>
    <row r="171" ht="15" customHeight="1">
      <c r="A171" t="inlineStr">
        <is>
          <t>A 19370-2024</t>
        </is>
      </c>
      <c r="B171" s="1" t="n">
        <v>45429</v>
      </c>
      <c r="C171" s="1" t="n">
        <v>46202</v>
      </c>
      <c r="D171" t="inlineStr">
        <is>
          <t>JÖNKÖPINGS LÄN</t>
        </is>
      </c>
      <c r="E171" t="inlineStr">
        <is>
          <t>HABO</t>
        </is>
      </c>
      <c r="G171" t="n">
        <v>1.9</v>
      </c>
      <c r="H171" t="n">
        <v>0</v>
      </c>
      <c r="I171" t="n">
        <v>0</v>
      </c>
      <c r="J171" t="n">
        <v>0</v>
      </c>
      <c r="K171" t="n">
        <v>0</v>
      </c>
      <c r="L171" t="n">
        <v>0</v>
      </c>
      <c r="M171" t="n">
        <v>0</v>
      </c>
      <c r="N171" t="n">
        <v>0</v>
      </c>
      <c r="O171" t="n">
        <v>0</v>
      </c>
      <c r="P171" t="n">
        <v>0</v>
      </c>
      <c r="Q171" t="n">
        <v>0</v>
      </c>
      <c r="R171" s="2" t="inlineStr"/>
    </row>
    <row r="172" ht="15" customHeight="1">
      <c r="A172" t="inlineStr">
        <is>
          <t>A 23145-2024</t>
        </is>
      </c>
      <c r="B172" s="1" t="n">
        <v>45450</v>
      </c>
      <c r="C172" s="1" t="n">
        <v>46202</v>
      </c>
      <c r="D172" t="inlineStr">
        <is>
          <t>JÖNKÖPINGS LÄN</t>
        </is>
      </c>
      <c r="E172" t="inlineStr">
        <is>
          <t>HABO</t>
        </is>
      </c>
      <c r="G172" t="n">
        <v>1</v>
      </c>
      <c r="H172" t="n">
        <v>0</v>
      </c>
      <c r="I172" t="n">
        <v>0</v>
      </c>
      <c r="J172" t="n">
        <v>0</v>
      </c>
      <c r="K172" t="n">
        <v>0</v>
      </c>
      <c r="L172" t="n">
        <v>0</v>
      </c>
      <c r="M172" t="n">
        <v>0</v>
      </c>
      <c r="N172" t="n">
        <v>0</v>
      </c>
      <c r="O172" t="n">
        <v>0</v>
      </c>
      <c r="P172" t="n">
        <v>0</v>
      </c>
      <c r="Q172" t="n">
        <v>0</v>
      </c>
      <c r="R172" s="2" t="inlineStr"/>
    </row>
    <row r="173" ht="15" customHeight="1">
      <c r="A173" t="inlineStr">
        <is>
          <t>A 23156-2024</t>
        </is>
      </c>
      <c r="B173" s="1" t="n">
        <v>45450</v>
      </c>
      <c r="C173" s="1" t="n">
        <v>46202</v>
      </c>
      <c r="D173" t="inlineStr">
        <is>
          <t>JÖNKÖPINGS LÄN</t>
        </is>
      </c>
      <c r="E173" t="inlineStr">
        <is>
          <t>HABO</t>
        </is>
      </c>
      <c r="G173" t="n">
        <v>7.5</v>
      </c>
      <c r="H173" t="n">
        <v>0</v>
      </c>
      <c r="I173" t="n">
        <v>0</v>
      </c>
      <c r="J173" t="n">
        <v>0</v>
      </c>
      <c r="K173" t="n">
        <v>0</v>
      </c>
      <c r="L173" t="n">
        <v>0</v>
      </c>
      <c r="M173" t="n">
        <v>0</v>
      </c>
      <c r="N173" t="n">
        <v>0</v>
      </c>
      <c r="O173" t="n">
        <v>0</v>
      </c>
      <c r="P173" t="n">
        <v>0</v>
      </c>
      <c r="Q173" t="n">
        <v>0</v>
      </c>
      <c r="R173" s="2" t="inlineStr"/>
    </row>
    <row r="174" ht="15" customHeight="1">
      <c r="A174" t="inlineStr">
        <is>
          <t>A 15252-2024</t>
        </is>
      </c>
      <c r="B174" s="1" t="n">
        <v>45400</v>
      </c>
      <c r="C174" s="1" t="n">
        <v>46202</v>
      </c>
      <c r="D174" t="inlineStr">
        <is>
          <t>JÖNKÖPINGS LÄN</t>
        </is>
      </c>
      <c r="E174" t="inlineStr">
        <is>
          <t>HABO</t>
        </is>
      </c>
      <c r="G174" t="n">
        <v>0.2</v>
      </c>
      <c r="H174" t="n">
        <v>0</v>
      </c>
      <c r="I174" t="n">
        <v>0</v>
      </c>
      <c r="J174" t="n">
        <v>0</v>
      </c>
      <c r="K174" t="n">
        <v>0</v>
      </c>
      <c r="L174" t="n">
        <v>0</v>
      </c>
      <c r="M174" t="n">
        <v>0</v>
      </c>
      <c r="N174" t="n">
        <v>0</v>
      </c>
      <c r="O174" t="n">
        <v>0</v>
      </c>
      <c r="P174" t="n">
        <v>0</v>
      </c>
      <c r="Q174" t="n">
        <v>0</v>
      </c>
      <c r="R174" s="2" t="inlineStr"/>
    </row>
    <row r="175" ht="15" customHeight="1">
      <c r="A175" t="inlineStr">
        <is>
          <t>A 44158-2023</t>
        </is>
      </c>
      <c r="B175" s="1" t="n">
        <v>45188</v>
      </c>
      <c r="C175" s="1" t="n">
        <v>46202</v>
      </c>
      <c r="D175" t="inlineStr">
        <is>
          <t>JÖNKÖPINGS LÄN</t>
        </is>
      </c>
      <c r="E175" t="inlineStr">
        <is>
          <t>HABO</t>
        </is>
      </c>
      <c r="G175" t="n">
        <v>2.1</v>
      </c>
      <c r="H175" t="n">
        <v>0</v>
      </c>
      <c r="I175" t="n">
        <v>0</v>
      </c>
      <c r="J175" t="n">
        <v>0</v>
      </c>
      <c r="K175" t="n">
        <v>0</v>
      </c>
      <c r="L175" t="n">
        <v>0</v>
      </c>
      <c r="M175" t="n">
        <v>0</v>
      </c>
      <c r="N175" t="n">
        <v>0</v>
      </c>
      <c r="O175" t="n">
        <v>0</v>
      </c>
      <c r="P175" t="n">
        <v>0</v>
      </c>
      <c r="Q175" t="n">
        <v>0</v>
      </c>
      <c r="R175" s="2" t="inlineStr"/>
    </row>
    <row r="176" ht="15" customHeight="1">
      <c r="A176" t="inlineStr">
        <is>
          <t>A 15251-2024</t>
        </is>
      </c>
      <c r="B176" s="1" t="n">
        <v>45400</v>
      </c>
      <c r="C176" s="1" t="n">
        <v>46202</v>
      </c>
      <c r="D176" t="inlineStr">
        <is>
          <t>JÖNKÖPINGS LÄN</t>
        </is>
      </c>
      <c r="E176" t="inlineStr">
        <is>
          <t>HABO</t>
        </is>
      </c>
      <c r="G176" t="n">
        <v>0.3</v>
      </c>
      <c r="H176" t="n">
        <v>0</v>
      </c>
      <c r="I176" t="n">
        <v>0</v>
      </c>
      <c r="J176" t="n">
        <v>0</v>
      </c>
      <c r="K176" t="n">
        <v>0</v>
      </c>
      <c r="L176" t="n">
        <v>0</v>
      </c>
      <c r="M176" t="n">
        <v>0</v>
      </c>
      <c r="N176" t="n">
        <v>0</v>
      </c>
      <c r="O176" t="n">
        <v>0</v>
      </c>
      <c r="P176" t="n">
        <v>0</v>
      </c>
      <c r="Q176" t="n">
        <v>0</v>
      </c>
      <c r="R176" s="2" t="inlineStr"/>
    </row>
    <row r="177" ht="15" customHeight="1">
      <c r="A177" t="inlineStr">
        <is>
          <t>A 26881-2025</t>
        </is>
      </c>
      <c r="B177" s="1" t="n">
        <v>45810</v>
      </c>
      <c r="C177" s="1" t="n">
        <v>46202</v>
      </c>
      <c r="D177" t="inlineStr">
        <is>
          <t>JÖNKÖPINGS LÄN</t>
        </is>
      </c>
      <c r="E177" t="inlineStr">
        <is>
          <t>HABO</t>
        </is>
      </c>
      <c r="G177" t="n">
        <v>11.6</v>
      </c>
      <c r="H177" t="n">
        <v>0</v>
      </c>
      <c r="I177" t="n">
        <v>0</v>
      </c>
      <c r="J177" t="n">
        <v>0</v>
      </c>
      <c r="K177" t="n">
        <v>0</v>
      </c>
      <c r="L177" t="n">
        <v>0</v>
      </c>
      <c r="M177" t="n">
        <v>0</v>
      </c>
      <c r="N177" t="n">
        <v>0</v>
      </c>
      <c r="O177" t="n">
        <v>0</v>
      </c>
      <c r="P177" t="n">
        <v>0</v>
      </c>
      <c r="Q177" t="n">
        <v>0</v>
      </c>
      <c r="R177" s="2" t="inlineStr"/>
    </row>
    <row r="178" ht="15" customHeight="1">
      <c r="A178" t="inlineStr">
        <is>
          <t>A 27327-2025</t>
        </is>
      </c>
      <c r="B178" s="1" t="n">
        <v>45812</v>
      </c>
      <c r="C178" s="1" t="n">
        <v>46202</v>
      </c>
      <c r="D178" t="inlineStr">
        <is>
          <t>JÖNKÖPINGS LÄN</t>
        </is>
      </c>
      <c r="E178" t="inlineStr">
        <is>
          <t>HABO</t>
        </is>
      </c>
      <c r="G178" t="n">
        <v>7.1</v>
      </c>
      <c r="H178" t="n">
        <v>0</v>
      </c>
      <c r="I178" t="n">
        <v>0</v>
      </c>
      <c r="J178" t="n">
        <v>0</v>
      </c>
      <c r="K178" t="n">
        <v>0</v>
      </c>
      <c r="L178" t="n">
        <v>0</v>
      </c>
      <c r="M178" t="n">
        <v>0</v>
      </c>
      <c r="N178" t="n">
        <v>0</v>
      </c>
      <c r="O178" t="n">
        <v>0</v>
      </c>
      <c r="P178" t="n">
        <v>0</v>
      </c>
      <c r="Q178" t="n">
        <v>0</v>
      </c>
      <c r="R178" s="2" t="inlineStr"/>
    </row>
    <row r="179" ht="15" customHeight="1">
      <c r="A179" t="inlineStr">
        <is>
          <t>A 23152-2024</t>
        </is>
      </c>
      <c r="B179" s="1" t="n">
        <v>45450</v>
      </c>
      <c r="C179" s="1" t="n">
        <v>46202</v>
      </c>
      <c r="D179" t="inlineStr">
        <is>
          <t>JÖNKÖPINGS LÄN</t>
        </is>
      </c>
      <c r="E179" t="inlineStr">
        <is>
          <t>HABO</t>
        </is>
      </c>
      <c r="G179" t="n">
        <v>3.5</v>
      </c>
      <c r="H179" t="n">
        <v>0</v>
      </c>
      <c r="I179" t="n">
        <v>0</v>
      </c>
      <c r="J179" t="n">
        <v>0</v>
      </c>
      <c r="K179" t="n">
        <v>0</v>
      </c>
      <c r="L179" t="n">
        <v>0</v>
      </c>
      <c r="M179" t="n">
        <v>0</v>
      </c>
      <c r="N179" t="n">
        <v>0</v>
      </c>
      <c r="O179" t="n">
        <v>0</v>
      </c>
      <c r="P179" t="n">
        <v>0</v>
      </c>
      <c r="Q179" t="n">
        <v>0</v>
      </c>
      <c r="R179" s="2" t="inlineStr"/>
    </row>
    <row r="180" ht="15" customHeight="1">
      <c r="A180" t="inlineStr">
        <is>
          <t>A 49846-2024</t>
        </is>
      </c>
      <c r="B180" s="1" t="n">
        <v>45597</v>
      </c>
      <c r="C180" s="1" t="n">
        <v>46202</v>
      </c>
      <c r="D180" t="inlineStr">
        <is>
          <t>JÖNKÖPINGS LÄN</t>
        </is>
      </c>
      <c r="E180" t="inlineStr">
        <is>
          <t>HABO</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7754-2025</t>
        </is>
      </c>
      <c r="B181" s="1" t="n">
        <v>45706</v>
      </c>
      <c r="C181" s="1" t="n">
        <v>46202</v>
      </c>
      <c r="D181" t="inlineStr">
        <is>
          <t>JÖNKÖPINGS LÄN</t>
        </is>
      </c>
      <c r="E181" t="inlineStr">
        <is>
          <t>HABO</t>
        </is>
      </c>
      <c r="G181" t="n">
        <v>3.7</v>
      </c>
      <c r="H181" t="n">
        <v>0</v>
      </c>
      <c r="I181" t="n">
        <v>0</v>
      </c>
      <c r="J181" t="n">
        <v>0</v>
      </c>
      <c r="K181" t="n">
        <v>0</v>
      </c>
      <c r="L181" t="n">
        <v>0</v>
      </c>
      <c r="M181" t="n">
        <v>0</v>
      </c>
      <c r="N181" t="n">
        <v>0</v>
      </c>
      <c r="O181" t="n">
        <v>0</v>
      </c>
      <c r="P181" t="n">
        <v>0</v>
      </c>
      <c r="Q181" t="n">
        <v>0</v>
      </c>
      <c r="R181" s="2" t="inlineStr"/>
    </row>
    <row r="182" ht="15" customHeight="1">
      <c r="A182" t="inlineStr">
        <is>
          <t>A 12999-2025</t>
        </is>
      </c>
      <c r="B182" s="1" t="n">
        <v>45734</v>
      </c>
      <c r="C182" s="1" t="n">
        <v>46202</v>
      </c>
      <c r="D182" t="inlineStr">
        <is>
          <t>JÖNKÖPINGS LÄN</t>
        </is>
      </c>
      <c r="E182" t="inlineStr">
        <is>
          <t>HABO</t>
        </is>
      </c>
      <c r="G182" t="n">
        <v>1</v>
      </c>
      <c r="H182" t="n">
        <v>0</v>
      </c>
      <c r="I182" t="n">
        <v>0</v>
      </c>
      <c r="J182" t="n">
        <v>0</v>
      </c>
      <c r="K182" t="n">
        <v>0</v>
      </c>
      <c r="L182" t="n">
        <v>0</v>
      </c>
      <c r="M182" t="n">
        <v>0</v>
      </c>
      <c r="N182" t="n">
        <v>0</v>
      </c>
      <c r="O182" t="n">
        <v>0</v>
      </c>
      <c r="P182" t="n">
        <v>0</v>
      </c>
      <c r="Q182" t="n">
        <v>0</v>
      </c>
      <c r="R182" s="2" t="inlineStr"/>
    </row>
    <row r="183" ht="15" customHeight="1">
      <c r="A183" t="inlineStr">
        <is>
          <t>A 32238-2023</t>
        </is>
      </c>
      <c r="B183" s="1" t="n">
        <v>45119</v>
      </c>
      <c r="C183" s="1" t="n">
        <v>46202</v>
      </c>
      <c r="D183" t="inlineStr">
        <is>
          <t>JÖNKÖPINGS LÄN</t>
        </is>
      </c>
      <c r="E183" t="inlineStr">
        <is>
          <t>HABO</t>
        </is>
      </c>
      <c r="G183" t="n">
        <v>1.3</v>
      </c>
      <c r="H183" t="n">
        <v>0</v>
      </c>
      <c r="I183" t="n">
        <v>0</v>
      </c>
      <c r="J183" t="n">
        <v>0</v>
      </c>
      <c r="K183" t="n">
        <v>0</v>
      </c>
      <c r="L183" t="n">
        <v>0</v>
      </c>
      <c r="M183" t="n">
        <v>0</v>
      </c>
      <c r="N183" t="n">
        <v>0</v>
      </c>
      <c r="O183" t="n">
        <v>0</v>
      </c>
      <c r="P183" t="n">
        <v>0</v>
      </c>
      <c r="Q183" t="n">
        <v>0</v>
      </c>
      <c r="R183" s="2" t="inlineStr"/>
    </row>
    <row r="184" ht="15" customHeight="1">
      <c r="A184" t="inlineStr">
        <is>
          <t>A 36481-2023</t>
        </is>
      </c>
      <c r="B184" s="1" t="n">
        <v>45152</v>
      </c>
      <c r="C184" s="1" t="n">
        <v>46202</v>
      </c>
      <c r="D184" t="inlineStr">
        <is>
          <t>JÖNKÖPINGS LÄN</t>
        </is>
      </c>
      <c r="E184" t="inlineStr">
        <is>
          <t>HABO</t>
        </is>
      </c>
      <c r="G184" t="n">
        <v>5.3</v>
      </c>
      <c r="H184" t="n">
        <v>0</v>
      </c>
      <c r="I184" t="n">
        <v>0</v>
      </c>
      <c r="J184" t="n">
        <v>0</v>
      </c>
      <c r="K184" t="n">
        <v>0</v>
      </c>
      <c r="L184" t="n">
        <v>0</v>
      </c>
      <c r="M184" t="n">
        <v>0</v>
      </c>
      <c r="N184" t="n">
        <v>0</v>
      </c>
      <c r="O184" t="n">
        <v>0</v>
      </c>
      <c r="P184" t="n">
        <v>0</v>
      </c>
      <c r="Q184" t="n">
        <v>0</v>
      </c>
      <c r="R184" s="2" t="inlineStr"/>
    </row>
    <row r="185" ht="15" customHeight="1">
      <c r="A185" t="inlineStr">
        <is>
          <t>A 26932-2025</t>
        </is>
      </c>
      <c r="B185" s="1" t="n">
        <v>45811</v>
      </c>
      <c r="C185" s="1" t="n">
        <v>46202</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32252-2023</t>
        </is>
      </c>
      <c r="B186" s="1" t="n">
        <v>45120</v>
      </c>
      <c r="C186" s="1" t="n">
        <v>46202</v>
      </c>
      <c r="D186" t="inlineStr">
        <is>
          <t>JÖNKÖPINGS LÄN</t>
        </is>
      </c>
      <c r="E186" t="inlineStr">
        <is>
          <t>HABO</t>
        </is>
      </c>
      <c r="G186" t="n">
        <v>1</v>
      </c>
      <c r="H186" t="n">
        <v>0</v>
      </c>
      <c r="I186" t="n">
        <v>0</v>
      </c>
      <c r="J186" t="n">
        <v>0</v>
      </c>
      <c r="K186" t="n">
        <v>0</v>
      </c>
      <c r="L186" t="n">
        <v>0</v>
      </c>
      <c r="M186" t="n">
        <v>0</v>
      </c>
      <c r="N186" t="n">
        <v>0</v>
      </c>
      <c r="O186" t="n">
        <v>0</v>
      </c>
      <c r="P186" t="n">
        <v>0</v>
      </c>
      <c r="Q186" t="n">
        <v>0</v>
      </c>
      <c r="R186" s="2" t="inlineStr"/>
    </row>
    <row r="187" ht="15" customHeight="1">
      <c r="A187" t="inlineStr">
        <is>
          <t>A 30274-2025</t>
        </is>
      </c>
      <c r="B187" s="1" t="n">
        <v>45827</v>
      </c>
      <c r="C187" s="1" t="n">
        <v>46202</v>
      </c>
      <c r="D187" t="inlineStr">
        <is>
          <t>JÖNKÖPINGS LÄN</t>
        </is>
      </c>
      <c r="E187" t="inlineStr">
        <is>
          <t>HABO</t>
        </is>
      </c>
      <c r="G187" t="n">
        <v>0.6</v>
      </c>
      <c r="H187" t="n">
        <v>0</v>
      </c>
      <c r="I187" t="n">
        <v>0</v>
      </c>
      <c r="J187" t="n">
        <v>0</v>
      </c>
      <c r="K187" t="n">
        <v>0</v>
      </c>
      <c r="L187" t="n">
        <v>0</v>
      </c>
      <c r="M187" t="n">
        <v>0</v>
      </c>
      <c r="N187" t="n">
        <v>0</v>
      </c>
      <c r="O187" t="n">
        <v>0</v>
      </c>
      <c r="P187" t="n">
        <v>0</v>
      </c>
      <c r="Q187" t="n">
        <v>0</v>
      </c>
      <c r="R187" s="2" t="inlineStr"/>
    </row>
    <row r="188" ht="15" customHeight="1">
      <c r="A188" t="inlineStr">
        <is>
          <t>A 30272-2025</t>
        </is>
      </c>
      <c r="B188" s="1" t="n">
        <v>45827</v>
      </c>
      <c r="C188" s="1" t="n">
        <v>46202</v>
      </c>
      <c r="D188" t="inlineStr">
        <is>
          <t>JÖNKÖPINGS LÄN</t>
        </is>
      </c>
      <c r="E188" t="inlineStr">
        <is>
          <t>HABO</t>
        </is>
      </c>
      <c r="G188" t="n">
        <v>0.9</v>
      </c>
      <c r="H188" t="n">
        <v>0</v>
      </c>
      <c r="I188" t="n">
        <v>0</v>
      </c>
      <c r="J188" t="n">
        <v>0</v>
      </c>
      <c r="K188" t="n">
        <v>0</v>
      </c>
      <c r="L188" t="n">
        <v>0</v>
      </c>
      <c r="M188" t="n">
        <v>0</v>
      </c>
      <c r="N188" t="n">
        <v>0</v>
      </c>
      <c r="O188" t="n">
        <v>0</v>
      </c>
      <c r="P188" t="n">
        <v>0</v>
      </c>
      <c r="Q188" t="n">
        <v>0</v>
      </c>
      <c r="R188" s="2" t="inlineStr"/>
    </row>
    <row r="189" ht="15" customHeight="1">
      <c r="A189" t="inlineStr">
        <is>
          <t>A 28690-2024</t>
        </is>
      </c>
      <c r="B189" s="1" t="n">
        <v>45478</v>
      </c>
      <c r="C189" s="1" t="n">
        <v>46202</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11887-2023</t>
        </is>
      </c>
      <c r="B190" s="1" t="n">
        <v>44995</v>
      </c>
      <c r="C190" s="1" t="n">
        <v>46202</v>
      </c>
      <c r="D190" t="inlineStr">
        <is>
          <t>JÖNKÖPINGS LÄN</t>
        </is>
      </c>
      <c r="E190" t="inlineStr">
        <is>
          <t>HABO</t>
        </is>
      </c>
      <c r="G190" t="n">
        <v>1.3</v>
      </c>
      <c r="H190" t="n">
        <v>0</v>
      </c>
      <c r="I190" t="n">
        <v>0</v>
      </c>
      <c r="J190" t="n">
        <v>0</v>
      </c>
      <c r="K190" t="n">
        <v>0</v>
      </c>
      <c r="L190" t="n">
        <v>0</v>
      </c>
      <c r="M190" t="n">
        <v>0</v>
      </c>
      <c r="N190" t="n">
        <v>0</v>
      </c>
      <c r="O190" t="n">
        <v>0</v>
      </c>
      <c r="P190" t="n">
        <v>0</v>
      </c>
      <c r="Q190" t="n">
        <v>0</v>
      </c>
      <c r="R190" s="2" t="inlineStr"/>
    </row>
    <row r="191" ht="15" customHeight="1">
      <c r="A191" t="inlineStr">
        <is>
          <t>A 30863-2023</t>
        </is>
      </c>
      <c r="B191" s="1" t="n">
        <v>45113</v>
      </c>
      <c r="C191" s="1" t="n">
        <v>46202</v>
      </c>
      <c r="D191" t="inlineStr">
        <is>
          <t>JÖNKÖPINGS LÄN</t>
        </is>
      </c>
      <c r="E191" t="inlineStr">
        <is>
          <t>HABO</t>
        </is>
      </c>
      <c r="G191" t="n">
        <v>2.8</v>
      </c>
      <c r="H191" t="n">
        <v>0</v>
      </c>
      <c r="I191" t="n">
        <v>0</v>
      </c>
      <c r="J191" t="n">
        <v>0</v>
      </c>
      <c r="K191" t="n">
        <v>0</v>
      </c>
      <c r="L191" t="n">
        <v>0</v>
      </c>
      <c r="M191" t="n">
        <v>0</v>
      </c>
      <c r="N191" t="n">
        <v>0</v>
      </c>
      <c r="O191" t="n">
        <v>0</v>
      </c>
      <c r="P191" t="n">
        <v>0</v>
      </c>
      <c r="Q191" t="n">
        <v>0</v>
      </c>
      <c r="R191" s="2" t="inlineStr"/>
    </row>
    <row r="192" ht="15" customHeight="1">
      <c r="A192" t="inlineStr">
        <is>
          <t>A 9931-2024</t>
        </is>
      </c>
      <c r="B192" s="1" t="n">
        <v>45363</v>
      </c>
      <c r="C192" s="1" t="n">
        <v>46202</v>
      </c>
      <c r="D192" t="inlineStr">
        <is>
          <t>JÖNKÖPINGS LÄN</t>
        </is>
      </c>
      <c r="E192" t="inlineStr">
        <is>
          <t>HABO</t>
        </is>
      </c>
      <c r="G192" t="n">
        <v>1.1</v>
      </c>
      <c r="H192" t="n">
        <v>0</v>
      </c>
      <c r="I192" t="n">
        <v>0</v>
      </c>
      <c r="J192" t="n">
        <v>0</v>
      </c>
      <c r="K192" t="n">
        <v>0</v>
      </c>
      <c r="L192" t="n">
        <v>0</v>
      </c>
      <c r="M192" t="n">
        <v>0</v>
      </c>
      <c r="N192" t="n">
        <v>0</v>
      </c>
      <c r="O192" t="n">
        <v>0</v>
      </c>
      <c r="P192" t="n">
        <v>0</v>
      </c>
      <c r="Q192" t="n">
        <v>0</v>
      </c>
      <c r="R192" s="2" t="inlineStr"/>
    </row>
    <row r="193" ht="15" customHeight="1">
      <c r="A193" t="inlineStr">
        <is>
          <t>A 40280-2024</t>
        </is>
      </c>
      <c r="B193" s="1" t="n">
        <v>45554</v>
      </c>
      <c r="C193" s="1" t="n">
        <v>46202</v>
      </c>
      <c r="D193" t="inlineStr">
        <is>
          <t>JÖNKÖPINGS LÄN</t>
        </is>
      </c>
      <c r="E193" t="inlineStr">
        <is>
          <t>HABO</t>
        </is>
      </c>
      <c r="G193" t="n">
        <v>6.9</v>
      </c>
      <c r="H193" t="n">
        <v>0</v>
      </c>
      <c r="I193" t="n">
        <v>0</v>
      </c>
      <c r="J193" t="n">
        <v>0</v>
      </c>
      <c r="K193" t="n">
        <v>0</v>
      </c>
      <c r="L193" t="n">
        <v>0</v>
      </c>
      <c r="M193" t="n">
        <v>0</v>
      </c>
      <c r="N193" t="n">
        <v>0</v>
      </c>
      <c r="O193" t="n">
        <v>0</v>
      </c>
      <c r="P193" t="n">
        <v>0</v>
      </c>
      <c r="Q193" t="n">
        <v>0</v>
      </c>
      <c r="R193" s="2" t="inlineStr"/>
    </row>
    <row r="194" ht="15" customHeight="1">
      <c r="A194" t="inlineStr">
        <is>
          <t>A 54693-2023</t>
        </is>
      </c>
      <c r="B194" s="1" t="n">
        <v>45236</v>
      </c>
      <c r="C194" s="1" t="n">
        <v>46202</v>
      </c>
      <c r="D194" t="inlineStr">
        <is>
          <t>JÖNKÖPINGS LÄN</t>
        </is>
      </c>
      <c r="E194" t="inlineStr">
        <is>
          <t>HABO</t>
        </is>
      </c>
      <c r="G194" t="n">
        <v>5.3</v>
      </c>
      <c r="H194" t="n">
        <v>0</v>
      </c>
      <c r="I194" t="n">
        <v>0</v>
      </c>
      <c r="J194" t="n">
        <v>0</v>
      </c>
      <c r="K194" t="n">
        <v>0</v>
      </c>
      <c r="L194" t="n">
        <v>0</v>
      </c>
      <c r="M194" t="n">
        <v>0</v>
      </c>
      <c r="N194" t="n">
        <v>0</v>
      </c>
      <c r="O194" t="n">
        <v>0</v>
      </c>
      <c r="P194" t="n">
        <v>0</v>
      </c>
      <c r="Q194" t="n">
        <v>0</v>
      </c>
      <c r="R194" s="2" t="inlineStr"/>
    </row>
    <row r="195" ht="15" customHeight="1">
      <c r="A195" t="inlineStr">
        <is>
          <t>A 60971-2022</t>
        </is>
      </c>
      <c r="B195" s="1" t="n">
        <v>44914</v>
      </c>
      <c r="C195" s="1" t="n">
        <v>46202</v>
      </c>
      <c r="D195" t="inlineStr">
        <is>
          <t>JÖNKÖPINGS LÄN</t>
        </is>
      </c>
      <c r="E195" t="inlineStr">
        <is>
          <t>HABO</t>
        </is>
      </c>
      <c r="G195" t="n">
        <v>0.8</v>
      </c>
      <c r="H195" t="n">
        <v>0</v>
      </c>
      <c r="I195" t="n">
        <v>0</v>
      </c>
      <c r="J195" t="n">
        <v>0</v>
      </c>
      <c r="K195" t="n">
        <v>0</v>
      </c>
      <c r="L195" t="n">
        <v>0</v>
      </c>
      <c r="M195" t="n">
        <v>0</v>
      </c>
      <c r="N195" t="n">
        <v>0</v>
      </c>
      <c r="O195" t="n">
        <v>0</v>
      </c>
      <c r="P195" t="n">
        <v>0</v>
      </c>
      <c r="Q195" t="n">
        <v>0</v>
      </c>
      <c r="R195" s="2" t="inlineStr"/>
    </row>
    <row r="196" ht="15" customHeight="1">
      <c r="A196" t="inlineStr">
        <is>
          <t>A 15517-2023</t>
        </is>
      </c>
      <c r="B196" s="1" t="n">
        <v>45020</v>
      </c>
      <c r="C196" s="1" t="n">
        <v>46202</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6230-2025</t>
        </is>
      </c>
      <c r="B197" s="1" t="n">
        <v>45698</v>
      </c>
      <c r="C197" s="1" t="n">
        <v>46202</v>
      </c>
      <c r="D197" t="inlineStr">
        <is>
          <t>JÖNKÖPINGS LÄN</t>
        </is>
      </c>
      <c r="E197" t="inlineStr">
        <is>
          <t>HABO</t>
        </is>
      </c>
      <c r="G197" t="n">
        <v>1.3</v>
      </c>
      <c r="H197" t="n">
        <v>0</v>
      </c>
      <c r="I197" t="n">
        <v>0</v>
      </c>
      <c r="J197" t="n">
        <v>0</v>
      </c>
      <c r="K197" t="n">
        <v>0</v>
      </c>
      <c r="L197" t="n">
        <v>0</v>
      </c>
      <c r="M197" t="n">
        <v>0</v>
      </c>
      <c r="N197" t="n">
        <v>0</v>
      </c>
      <c r="O197" t="n">
        <v>0</v>
      </c>
      <c r="P197" t="n">
        <v>0</v>
      </c>
      <c r="Q197" t="n">
        <v>0</v>
      </c>
      <c r="R197" s="2" t="inlineStr"/>
    </row>
    <row r="198" ht="15" customHeight="1">
      <c r="A198" t="inlineStr">
        <is>
          <t>A 6233-2025</t>
        </is>
      </c>
      <c r="B198" s="1" t="n">
        <v>45698</v>
      </c>
      <c r="C198" s="1" t="n">
        <v>46202</v>
      </c>
      <c r="D198" t="inlineStr">
        <is>
          <t>JÖNKÖPINGS LÄN</t>
        </is>
      </c>
      <c r="E198" t="inlineStr">
        <is>
          <t>HABO</t>
        </is>
      </c>
      <c r="G198" t="n">
        <v>0.4</v>
      </c>
      <c r="H198" t="n">
        <v>0</v>
      </c>
      <c r="I198" t="n">
        <v>0</v>
      </c>
      <c r="J198" t="n">
        <v>0</v>
      </c>
      <c r="K198" t="n">
        <v>0</v>
      </c>
      <c r="L198" t="n">
        <v>0</v>
      </c>
      <c r="M198" t="n">
        <v>0</v>
      </c>
      <c r="N198" t="n">
        <v>0</v>
      </c>
      <c r="O198" t="n">
        <v>0</v>
      </c>
      <c r="P198" t="n">
        <v>0</v>
      </c>
      <c r="Q198" t="n">
        <v>0</v>
      </c>
      <c r="R198" s="2" t="inlineStr"/>
    </row>
    <row r="199" ht="15" customHeight="1">
      <c r="A199" t="inlineStr">
        <is>
          <t>A 51444-2023</t>
        </is>
      </c>
      <c r="B199" s="1" t="n">
        <v>45220</v>
      </c>
      <c r="C199" s="1" t="n">
        <v>46202</v>
      </c>
      <c r="D199" t="inlineStr">
        <is>
          <t>JÖNKÖPINGS LÄN</t>
        </is>
      </c>
      <c r="E199" t="inlineStr">
        <is>
          <t>HABO</t>
        </is>
      </c>
      <c r="G199" t="n">
        <v>2.5</v>
      </c>
      <c r="H199" t="n">
        <v>0</v>
      </c>
      <c r="I199" t="n">
        <v>0</v>
      </c>
      <c r="J199" t="n">
        <v>0</v>
      </c>
      <c r="K199" t="n">
        <v>0</v>
      </c>
      <c r="L199" t="n">
        <v>0</v>
      </c>
      <c r="M199" t="n">
        <v>0</v>
      </c>
      <c r="N199" t="n">
        <v>0</v>
      </c>
      <c r="O199" t="n">
        <v>0</v>
      </c>
      <c r="P199" t="n">
        <v>0</v>
      </c>
      <c r="Q199" t="n">
        <v>0</v>
      </c>
      <c r="R199" s="2" t="inlineStr"/>
    </row>
    <row r="200" ht="15" customHeight="1">
      <c r="A200" t="inlineStr">
        <is>
          <t>A 34452-2025</t>
        </is>
      </c>
      <c r="B200" s="1" t="n">
        <v>45846</v>
      </c>
      <c r="C200" s="1" t="n">
        <v>46202</v>
      </c>
      <c r="D200" t="inlineStr">
        <is>
          <t>JÖNKÖPINGS LÄN</t>
        </is>
      </c>
      <c r="E200" t="inlineStr">
        <is>
          <t>HABO</t>
        </is>
      </c>
      <c r="G200" t="n">
        <v>0.9</v>
      </c>
      <c r="H200" t="n">
        <v>0</v>
      </c>
      <c r="I200" t="n">
        <v>0</v>
      </c>
      <c r="J200" t="n">
        <v>0</v>
      </c>
      <c r="K200" t="n">
        <v>0</v>
      </c>
      <c r="L200" t="n">
        <v>0</v>
      </c>
      <c r="M200" t="n">
        <v>0</v>
      </c>
      <c r="N200" t="n">
        <v>0</v>
      </c>
      <c r="O200" t="n">
        <v>0</v>
      </c>
      <c r="P200" t="n">
        <v>0</v>
      </c>
      <c r="Q200" t="n">
        <v>0</v>
      </c>
      <c r="R200" s="2" t="inlineStr"/>
    </row>
    <row r="201" ht="15" customHeight="1">
      <c r="A201" t="inlineStr">
        <is>
          <t>A 50710-2023</t>
        </is>
      </c>
      <c r="B201" s="1" t="n">
        <v>45217</v>
      </c>
      <c r="C201" s="1" t="n">
        <v>46202</v>
      </c>
      <c r="D201" t="inlineStr">
        <is>
          <t>JÖNKÖPINGS LÄN</t>
        </is>
      </c>
      <c r="E201" t="inlineStr">
        <is>
          <t>HABO</t>
        </is>
      </c>
      <c r="G201" t="n">
        <v>1.4</v>
      </c>
      <c r="H201" t="n">
        <v>0</v>
      </c>
      <c r="I201" t="n">
        <v>0</v>
      </c>
      <c r="J201" t="n">
        <v>0</v>
      </c>
      <c r="K201" t="n">
        <v>0</v>
      </c>
      <c r="L201" t="n">
        <v>0</v>
      </c>
      <c r="M201" t="n">
        <v>0</v>
      </c>
      <c r="N201" t="n">
        <v>0</v>
      </c>
      <c r="O201" t="n">
        <v>0</v>
      </c>
      <c r="P201" t="n">
        <v>0</v>
      </c>
      <c r="Q201" t="n">
        <v>0</v>
      </c>
      <c r="R201" s="2" t="inlineStr"/>
    </row>
    <row r="202" ht="15" customHeight="1">
      <c r="A202" t="inlineStr">
        <is>
          <t>A 26882-2025</t>
        </is>
      </c>
      <c r="B202" s="1" t="n">
        <v>45810</v>
      </c>
      <c r="C202" s="1" t="n">
        <v>46202</v>
      </c>
      <c r="D202" t="inlineStr">
        <is>
          <t>JÖNKÖPINGS LÄN</t>
        </is>
      </c>
      <c r="E202" t="inlineStr">
        <is>
          <t>HABO</t>
        </is>
      </c>
      <c r="G202" t="n">
        <v>4.2</v>
      </c>
      <c r="H202" t="n">
        <v>0</v>
      </c>
      <c r="I202" t="n">
        <v>0</v>
      </c>
      <c r="J202" t="n">
        <v>0</v>
      </c>
      <c r="K202" t="n">
        <v>0</v>
      </c>
      <c r="L202" t="n">
        <v>0</v>
      </c>
      <c r="M202" t="n">
        <v>0</v>
      </c>
      <c r="N202" t="n">
        <v>0</v>
      </c>
      <c r="O202" t="n">
        <v>0</v>
      </c>
      <c r="P202" t="n">
        <v>0</v>
      </c>
      <c r="Q202" t="n">
        <v>0</v>
      </c>
      <c r="R202" s="2" t="inlineStr"/>
    </row>
    <row r="203" ht="15" customHeight="1">
      <c r="A203" t="inlineStr">
        <is>
          <t>A 29408-2023</t>
        </is>
      </c>
      <c r="B203" s="1" t="n">
        <v>45106</v>
      </c>
      <c r="C203" s="1" t="n">
        <v>46202</v>
      </c>
      <c r="D203" t="inlineStr">
        <is>
          <t>JÖNKÖPINGS LÄN</t>
        </is>
      </c>
      <c r="E203" t="inlineStr">
        <is>
          <t>HABO</t>
        </is>
      </c>
      <c r="G203" t="n">
        <v>1.2</v>
      </c>
      <c r="H203" t="n">
        <v>0</v>
      </c>
      <c r="I203" t="n">
        <v>0</v>
      </c>
      <c r="J203" t="n">
        <v>0</v>
      </c>
      <c r="K203" t="n">
        <v>0</v>
      </c>
      <c r="L203" t="n">
        <v>0</v>
      </c>
      <c r="M203" t="n">
        <v>0</v>
      </c>
      <c r="N203" t="n">
        <v>0</v>
      </c>
      <c r="O203" t="n">
        <v>0</v>
      </c>
      <c r="P203" t="n">
        <v>0</v>
      </c>
      <c r="Q203" t="n">
        <v>0</v>
      </c>
      <c r="R203" s="2" t="inlineStr"/>
    </row>
    <row r="204" ht="15" customHeight="1">
      <c r="A204" t="inlineStr">
        <is>
          <t>A 32245-2023</t>
        </is>
      </c>
      <c r="B204" s="1" t="n">
        <v>45119</v>
      </c>
      <c r="C204" s="1" t="n">
        <v>46202</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32246-2023</t>
        </is>
      </c>
      <c r="B205" s="1" t="n">
        <v>45120</v>
      </c>
      <c r="C205" s="1" t="n">
        <v>46202</v>
      </c>
      <c r="D205" t="inlineStr">
        <is>
          <t>JÖNKÖPINGS LÄN</t>
        </is>
      </c>
      <c r="E205" t="inlineStr">
        <is>
          <t>HABO</t>
        </is>
      </c>
      <c r="G205" t="n">
        <v>0.6</v>
      </c>
      <c r="H205" t="n">
        <v>0</v>
      </c>
      <c r="I205" t="n">
        <v>0</v>
      </c>
      <c r="J205" t="n">
        <v>0</v>
      </c>
      <c r="K205" t="n">
        <v>0</v>
      </c>
      <c r="L205" t="n">
        <v>0</v>
      </c>
      <c r="M205" t="n">
        <v>0</v>
      </c>
      <c r="N205" t="n">
        <v>0</v>
      </c>
      <c r="O205" t="n">
        <v>0</v>
      </c>
      <c r="P205" t="n">
        <v>0</v>
      </c>
      <c r="Q205" t="n">
        <v>0</v>
      </c>
      <c r="R205" s="2" t="inlineStr"/>
    </row>
    <row r="206" ht="15" customHeight="1">
      <c r="A206" t="inlineStr">
        <is>
          <t>A 32247-2023</t>
        </is>
      </c>
      <c r="B206" s="1" t="n">
        <v>45120</v>
      </c>
      <c r="C206" s="1" t="n">
        <v>46202</v>
      </c>
      <c r="D206" t="inlineStr">
        <is>
          <t>JÖNKÖPINGS LÄN</t>
        </is>
      </c>
      <c r="E206" t="inlineStr">
        <is>
          <t>HABO</t>
        </is>
      </c>
      <c r="G206" t="n">
        <v>0.6</v>
      </c>
      <c r="H206" t="n">
        <v>0</v>
      </c>
      <c r="I206" t="n">
        <v>0</v>
      </c>
      <c r="J206" t="n">
        <v>0</v>
      </c>
      <c r="K206" t="n">
        <v>0</v>
      </c>
      <c r="L206" t="n">
        <v>0</v>
      </c>
      <c r="M206" t="n">
        <v>0</v>
      </c>
      <c r="N206" t="n">
        <v>0</v>
      </c>
      <c r="O206" t="n">
        <v>0</v>
      </c>
      <c r="P206" t="n">
        <v>0</v>
      </c>
      <c r="Q206" t="n">
        <v>0</v>
      </c>
      <c r="R206" s="2" t="inlineStr"/>
    </row>
    <row r="207" ht="15" customHeight="1">
      <c r="A207" t="inlineStr">
        <is>
          <t>A 32253-2023</t>
        </is>
      </c>
      <c r="B207" s="1" t="n">
        <v>45120</v>
      </c>
      <c r="C207" s="1" t="n">
        <v>46202</v>
      </c>
      <c r="D207" t="inlineStr">
        <is>
          <t>JÖNKÖPINGS LÄN</t>
        </is>
      </c>
      <c r="E207" t="inlineStr">
        <is>
          <t>HABO</t>
        </is>
      </c>
      <c r="G207" t="n">
        <v>2.9</v>
      </c>
      <c r="H207" t="n">
        <v>0</v>
      </c>
      <c r="I207" t="n">
        <v>0</v>
      </c>
      <c r="J207" t="n">
        <v>0</v>
      </c>
      <c r="K207" t="n">
        <v>0</v>
      </c>
      <c r="L207" t="n">
        <v>0</v>
      </c>
      <c r="M207" t="n">
        <v>0</v>
      </c>
      <c r="N207" t="n">
        <v>0</v>
      </c>
      <c r="O207" t="n">
        <v>0</v>
      </c>
      <c r="P207" t="n">
        <v>0</v>
      </c>
      <c r="Q207" t="n">
        <v>0</v>
      </c>
      <c r="R207" s="2" t="inlineStr"/>
    </row>
    <row r="208" ht="15" customHeight="1">
      <c r="A208" t="inlineStr">
        <is>
          <t>A 8849-2024</t>
        </is>
      </c>
      <c r="B208" s="1" t="n">
        <v>45356</v>
      </c>
      <c r="C208" s="1" t="n">
        <v>46202</v>
      </c>
      <c r="D208" t="inlineStr">
        <is>
          <t>JÖNKÖPINGS LÄN</t>
        </is>
      </c>
      <c r="E208" t="inlineStr">
        <is>
          <t>HABO</t>
        </is>
      </c>
      <c r="G208" t="n">
        <v>2</v>
      </c>
      <c r="H208" t="n">
        <v>0</v>
      </c>
      <c r="I208" t="n">
        <v>0</v>
      </c>
      <c r="J208" t="n">
        <v>0</v>
      </c>
      <c r="K208" t="n">
        <v>0</v>
      </c>
      <c r="L208" t="n">
        <v>0</v>
      </c>
      <c r="M208" t="n">
        <v>0</v>
      </c>
      <c r="N208" t="n">
        <v>0</v>
      </c>
      <c r="O208" t="n">
        <v>0</v>
      </c>
      <c r="P208" t="n">
        <v>0</v>
      </c>
      <c r="Q208" t="n">
        <v>0</v>
      </c>
      <c r="R208" s="2" t="inlineStr"/>
    </row>
    <row r="209" ht="15" customHeight="1">
      <c r="A209" t="inlineStr">
        <is>
          <t>A 35148-2022</t>
        </is>
      </c>
      <c r="B209" s="1" t="n">
        <v>44797</v>
      </c>
      <c r="C209" s="1" t="n">
        <v>46202</v>
      </c>
      <c r="D209" t="inlineStr">
        <is>
          <t>JÖNKÖPINGS LÄN</t>
        </is>
      </c>
      <c r="E209" t="inlineStr">
        <is>
          <t>HABO</t>
        </is>
      </c>
      <c r="G209" t="n">
        <v>0.7</v>
      </c>
      <c r="H209" t="n">
        <v>0</v>
      </c>
      <c r="I209" t="n">
        <v>0</v>
      </c>
      <c r="J209" t="n">
        <v>0</v>
      </c>
      <c r="K209" t="n">
        <v>0</v>
      </c>
      <c r="L209" t="n">
        <v>0</v>
      </c>
      <c r="M209" t="n">
        <v>0</v>
      </c>
      <c r="N209" t="n">
        <v>0</v>
      </c>
      <c r="O209" t="n">
        <v>0</v>
      </c>
      <c r="P209" t="n">
        <v>0</v>
      </c>
      <c r="Q209" t="n">
        <v>0</v>
      </c>
      <c r="R209" s="2" t="inlineStr"/>
    </row>
    <row r="210" ht="15" customHeight="1">
      <c r="A210" t="inlineStr">
        <is>
          <t>A 4551-2025</t>
        </is>
      </c>
      <c r="B210" s="1" t="n">
        <v>45687</v>
      </c>
      <c r="C210" s="1" t="n">
        <v>46202</v>
      </c>
      <c r="D210" t="inlineStr">
        <is>
          <t>JÖNKÖPINGS LÄN</t>
        </is>
      </c>
      <c r="E210" t="inlineStr">
        <is>
          <t>HABO</t>
        </is>
      </c>
      <c r="G210" t="n">
        <v>0.4</v>
      </c>
      <c r="H210" t="n">
        <v>0</v>
      </c>
      <c r="I210" t="n">
        <v>0</v>
      </c>
      <c r="J210" t="n">
        <v>0</v>
      </c>
      <c r="K210" t="n">
        <v>0</v>
      </c>
      <c r="L210" t="n">
        <v>0</v>
      </c>
      <c r="M210" t="n">
        <v>0</v>
      </c>
      <c r="N210" t="n">
        <v>0</v>
      </c>
      <c r="O210" t="n">
        <v>0</v>
      </c>
      <c r="P210" t="n">
        <v>0</v>
      </c>
      <c r="Q210" t="n">
        <v>0</v>
      </c>
      <c r="R210" s="2" t="inlineStr"/>
    </row>
    <row r="211" ht="15" customHeight="1">
      <c r="A211" t="inlineStr">
        <is>
          <t>A 31591-2022</t>
        </is>
      </c>
      <c r="B211" s="1" t="n">
        <v>44775</v>
      </c>
      <c r="C211" s="1" t="n">
        <v>46202</v>
      </c>
      <c r="D211" t="inlineStr">
        <is>
          <t>JÖNKÖPINGS LÄN</t>
        </is>
      </c>
      <c r="E211" t="inlineStr">
        <is>
          <t>HABO</t>
        </is>
      </c>
      <c r="G211" t="n">
        <v>0.5</v>
      </c>
      <c r="H211" t="n">
        <v>0</v>
      </c>
      <c r="I211" t="n">
        <v>0</v>
      </c>
      <c r="J211" t="n">
        <v>0</v>
      </c>
      <c r="K211" t="n">
        <v>0</v>
      </c>
      <c r="L211" t="n">
        <v>0</v>
      </c>
      <c r="M211" t="n">
        <v>0</v>
      </c>
      <c r="N211" t="n">
        <v>0</v>
      </c>
      <c r="O211" t="n">
        <v>0</v>
      </c>
      <c r="P211" t="n">
        <v>0</v>
      </c>
      <c r="Q211" t="n">
        <v>0</v>
      </c>
      <c r="R211" s="2" t="inlineStr"/>
    </row>
    <row r="212" ht="15" customHeight="1">
      <c r="A212" t="inlineStr">
        <is>
          <t>A 60726-2022</t>
        </is>
      </c>
      <c r="B212" s="1" t="n">
        <v>44913</v>
      </c>
      <c r="C212" s="1" t="n">
        <v>46202</v>
      </c>
      <c r="D212" t="inlineStr">
        <is>
          <t>JÖNKÖPINGS LÄN</t>
        </is>
      </c>
      <c r="E212" t="inlineStr">
        <is>
          <t>HABO</t>
        </is>
      </c>
      <c r="G212" t="n">
        <v>0.9</v>
      </c>
      <c r="H212" t="n">
        <v>0</v>
      </c>
      <c r="I212" t="n">
        <v>0</v>
      </c>
      <c r="J212" t="n">
        <v>0</v>
      </c>
      <c r="K212" t="n">
        <v>0</v>
      </c>
      <c r="L212" t="n">
        <v>0</v>
      </c>
      <c r="M212" t="n">
        <v>0</v>
      </c>
      <c r="N212" t="n">
        <v>0</v>
      </c>
      <c r="O212" t="n">
        <v>0</v>
      </c>
      <c r="P212" t="n">
        <v>0</v>
      </c>
      <c r="Q212" t="n">
        <v>0</v>
      </c>
      <c r="R212" s="2" t="inlineStr"/>
    </row>
    <row r="213" ht="15" customHeight="1">
      <c r="A213" t="inlineStr">
        <is>
          <t>A 54270-2024</t>
        </is>
      </c>
      <c r="B213" s="1" t="n">
        <v>45616</v>
      </c>
      <c r="C213" s="1" t="n">
        <v>46202</v>
      </c>
      <c r="D213" t="inlineStr">
        <is>
          <t>JÖNKÖPINGS LÄN</t>
        </is>
      </c>
      <c r="E213" t="inlineStr">
        <is>
          <t>HABO</t>
        </is>
      </c>
      <c r="G213" t="n">
        <v>1.5</v>
      </c>
      <c r="H213" t="n">
        <v>0</v>
      </c>
      <c r="I213" t="n">
        <v>0</v>
      </c>
      <c r="J213" t="n">
        <v>0</v>
      </c>
      <c r="K213" t="n">
        <v>0</v>
      </c>
      <c r="L213" t="n">
        <v>0</v>
      </c>
      <c r="M213" t="n">
        <v>0</v>
      </c>
      <c r="N213" t="n">
        <v>0</v>
      </c>
      <c r="O213" t="n">
        <v>0</v>
      </c>
      <c r="P213" t="n">
        <v>0</v>
      </c>
      <c r="Q213" t="n">
        <v>0</v>
      </c>
      <c r="R213" s="2" t="inlineStr"/>
    </row>
    <row r="214" ht="15" customHeight="1">
      <c r="A214" t="inlineStr">
        <is>
          <t>A 65067-2023</t>
        </is>
      </c>
      <c r="B214" s="1" t="n">
        <v>45287</v>
      </c>
      <c r="C214" s="1" t="n">
        <v>46202</v>
      </c>
      <c r="D214" t="inlineStr">
        <is>
          <t>JÖNKÖPINGS LÄN</t>
        </is>
      </c>
      <c r="E214" t="inlineStr">
        <is>
          <t>HABO</t>
        </is>
      </c>
      <c r="G214" t="n">
        <v>2.1</v>
      </c>
      <c r="H214" t="n">
        <v>0</v>
      </c>
      <c r="I214" t="n">
        <v>0</v>
      </c>
      <c r="J214" t="n">
        <v>0</v>
      </c>
      <c r="K214" t="n">
        <v>0</v>
      </c>
      <c r="L214" t="n">
        <v>0</v>
      </c>
      <c r="M214" t="n">
        <v>0</v>
      </c>
      <c r="N214" t="n">
        <v>0</v>
      </c>
      <c r="O214" t="n">
        <v>0</v>
      </c>
      <c r="P214" t="n">
        <v>0</v>
      </c>
      <c r="Q214" t="n">
        <v>0</v>
      </c>
      <c r="R214" s="2" t="inlineStr"/>
    </row>
    <row r="215" ht="15" customHeight="1">
      <c r="A215" t="inlineStr">
        <is>
          <t>A 17845-2024</t>
        </is>
      </c>
      <c r="B215" s="1" t="n">
        <v>45419</v>
      </c>
      <c r="C215" s="1" t="n">
        <v>46202</v>
      </c>
      <c r="D215" t="inlineStr">
        <is>
          <t>JÖNKÖPINGS LÄN</t>
        </is>
      </c>
      <c r="E215" t="inlineStr">
        <is>
          <t>HABO</t>
        </is>
      </c>
      <c r="G215" t="n">
        <v>0.7</v>
      </c>
      <c r="H215" t="n">
        <v>0</v>
      </c>
      <c r="I215" t="n">
        <v>0</v>
      </c>
      <c r="J215" t="n">
        <v>0</v>
      </c>
      <c r="K215" t="n">
        <v>0</v>
      </c>
      <c r="L215" t="n">
        <v>0</v>
      </c>
      <c r="M215" t="n">
        <v>0</v>
      </c>
      <c r="N215" t="n">
        <v>0</v>
      </c>
      <c r="O215" t="n">
        <v>0</v>
      </c>
      <c r="P215" t="n">
        <v>0</v>
      </c>
      <c r="Q215" t="n">
        <v>0</v>
      </c>
      <c r="R215" s="2" t="inlineStr"/>
    </row>
    <row r="216" ht="15" customHeight="1">
      <c r="A216" t="inlineStr">
        <is>
          <t>A 2073-2023</t>
        </is>
      </c>
      <c r="B216" s="1" t="n">
        <v>44939</v>
      </c>
      <c r="C216" s="1" t="n">
        <v>46202</v>
      </c>
      <c r="D216" t="inlineStr">
        <is>
          <t>JÖNKÖPINGS LÄN</t>
        </is>
      </c>
      <c r="E216" t="inlineStr">
        <is>
          <t>HABO</t>
        </is>
      </c>
      <c r="G216" t="n">
        <v>4.3</v>
      </c>
      <c r="H216" t="n">
        <v>0</v>
      </c>
      <c r="I216" t="n">
        <v>0</v>
      </c>
      <c r="J216" t="n">
        <v>0</v>
      </c>
      <c r="K216" t="n">
        <v>0</v>
      </c>
      <c r="L216" t="n">
        <v>0</v>
      </c>
      <c r="M216" t="n">
        <v>0</v>
      </c>
      <c r="N216" t="n">
        <v>0</v>
      </c>
      <c r="O216" t="n">
        <v>0</v>
      </c>
      <c r="P216" t="n">
        <v>0</v>
      </c>
      <c r="Q216" t="n">
        <v>0</v>
      </c>
      <c r="R216" s="2" t="inlineStr"/>
    </row>
    <row r="217" ht="15" customHeight="1">
      <c r="A217" t="inlineStr">
        <is>
          <t>A 16458-2025</t>
        </is>
      </c>
      <c r="B217" s="1" t="n">
        <v>45751</v>
      </c>
      <c r="C217" s="1" t="n">
        <v>46202</v>
      </c>
      <c r="D217" t="inlineStr">
        <is>
          <t>JÖNKÖPINGS LÄN</t>
        </is>
      </c>
      <c r="E217" t="inlineStr">
        <is>
          <t>HABO</t>
        </is>
      </c>
      <c r="G217" t="n">
        <v>2.5</v>
      </c>
      <c r="H217" t="n">
        <v>0</v>
      </c>
      <c r="I217" t="n">
        <v>0</v>
      </c>
      <c r="J217" t="n">
        <v>0</v>
      </c>
      <c r="K217" t="n">
        <v>0</v>
      </c>
      <c r="L217" t="n">
        <v>0</v>
      </c>
      <c r="M217" t="n">
        <v>0</v>
      </c>
      <c r="N217" t="n">
        <v>0</v>
      </c>
      <c r="O217" t="n">
        <v>0</v>
      </c>
      <c r="P217" t="n">
        <v>0</v>
      </c>
      <c r="Q217" t="n">
        <v>0</v>
      </c>
      <c r="R217" s="2" t="inlineStr"/>
    </row>
    <row r="218" ht="15" customHeight="1">
      <c r="A218" t="inlineStr">
        <is>
          <t>A 21072-2025</t>
        </is>
      </c>
      <c r="B218" s="1" t="n">
        <v>45777</v>
      </c>
      <c r="C218" s="1" t="n">
        <v>46202</v>
      </c>
      <c r="D218" t="inlineStr">
        <is>
          <t>JÖNKÖPINGS LÄN</t>
        </is>
      </c>
      <c r="E218" t="inlineStr">
        <is>
          <t>HABO</t>
        </is>
      </c>
      <c r="G218" t="n">
        <v>1.3</v>
      </c>
      <c r="H218" t="n">
        <v>0</v>
      </c>
      <c r="I218" t="n">
        <v>0</v>
      </c>
      <c r="J218" t="n">
        <v>0</v>
      </c>
      <c r="K218" t="n">
        <v>0</v>
      </c>
      <c r="L218" t="n">
        <v>0</v>
      </c>
      <c r="M218" t="n">
        <v>0</v>
      </c>
      <c r="N218" t="n">
        <v>0</v>
      </c>
      <c r="O218" t="n">
        <v>0</v>
      </c>
      <c r="P218" t="n">
        <v>0</v>
      </c>
      <c r="Q218" t="n">
        <v>0</v>
      </c>
      <c r="R218" s="2" t="inlineStr"/>
    </row>
    <row r="219" ht="15" customHeight="1">
      <c r="A219" t="inlineStr">
        <is>
          <t>A 21073-2025</t>
        </is>
      </c>
      <c r="B219" s="1" t="n">
        <v>45777</v>
      </c>
      <c r="C219" s="1" t="n">
        <v>46202</v>
      </c>
      <c r="D219" t="inlineStr">
        <is>
          <t>JÖNKÖPINGS LÄN</t>
        </is>
      </c>
      <c r="E219" t="inlineStr">
        <is>
          <t>HABO</t>
        </is>
      </c>
      <c r="G219" t="n">
        <v>0.7</v>
      </c>
      <c r="H219" t="n">
        <v>0</v>
      </c>
      <c r="I219" t="n">
        <v>0</v>
      </c>
      <c r="J219" t="n">
        <v>0</v>
      </c>
      <c r="K219" t="n">
        <v>0</v>
      </c>
      <c r="L219" t="n">
        <v>0</v>
      </c>
      <c r="M219" t="n">
        <v>0</v>
      </c>
      <c r="N219" t="n">
        <v>0</v>
      </c>
      <c r="O219" t="n">
        <v>0</v>
      </c>
      <c r="P219" t="n">
        <v>0</v>
      </c>
      <c r="Q219" t="n">
        <v>0</v>
      </c>
      <c r="R219" s="2" t="inlineStr"/>
    </row>
    <row r="220" ht="15" customHeight="1">
      <c r="A220" t="inlineStr">
        <is>
          <t>A 37438-2025</t>
        </is>
      </c>
      <c r="B220" s="1" t="n">
        <v>45877</v>
      </c>
      <c r="C220" s="1" t="n">
        <v>46202</v>
      </c>
      <c r="D220" t="inlineStr">
        <is>
          <t>JÖNKÖPINGS LÄN</t>
        </is>
      </c>
      <c r="E220" t="inlineStr">
        <is>
          <t>HABO</t>
        </is>
      </c>
      <c r="G220" t="n">
        <v>1.6</v>
      </c>
      <c r="H220" t="n">
        <v>0</v>
      </c>
      <c r="I220" t="n">
        <v>0</v>
      </c>
      <c r="J220" t="n">
        <v>0</v>
      </c>
      <c r="K220" t="n">
        <v>0</v>
      </c>
      <c r="L220" t="n">
        <v>0</v>
      </c>
      <c r="M220" t="n">
        <v>0</v>
      </c>
      <c r="N220" t="n">
        <v>0</v>
      </c>
      <c r="O220" t="n">
        <v>0</v>
      </c>
      <c r="P220" t="n">
        <v>0</v>
      </c>
      <c r="Q220" t="n">
        <v>0</v>
      </c>
      <c r="R220" s="2" t="inlineStr"/>
    </row>
    <row r="221" ht="15" customHeight="1">
      <c r="A221" t="inlineStr">
        <is>
          <t>A 11906-2023</t>
        </is>
      </c>
      <c r="B221" s="1" t="n">
        <v>44995</v>
      </c>
      <c r="C221" s="1" t="n">
        <v>46202</v>
      </c>
      <c r="D221" t="inlineStr">
        <is>
          <t>JÖNKÖPINGS LÄN</t>
        </is>
      </c>
      <c r="E221" t="inlineStr">
        <is>
          <t>HABO</t>
        </is>
      </c>
      <c r="G221" t="n">
        <v>3.9</v>
      </c>
      <c r="H221" t="n">
        <v>0</v>
      </c>
      <c r="I221" t="n">
        <v>0</v>
      </c>
      <c r="J221" t="n">
        <v>0</v>
      </c>
      <c r="K221" t="n">
        <v>0</v>
      </c>
      <c r="L221" t="n">
        <v>0</v>
      </c>
      <c r="M221" t="n">
        <v>0</v>
      </c>
      <c r="N221" t="n">
        <v>0</v>
      </c>
      <c r="O221" t="n">
        <v>0</v>
      </c>
      <c r="P221" t="n">
        <v>0</v>
      </c>
      <c r="Q221" t="n">
        <v>0</v>
      </c>
      <c r="R221" s="2" t="inlineStr"/>
    </row>
    <row r="222" ht="15" customHeight="1">
      <c r="A222" t="inlineStr">
        <is>
          <t>A 26207-2023</t>
        </is>
      </c>
      <c r="B222" s="1" t="n">
        <v>45091</v>
      </c>
      <c r="C222" s="1" t="n">
        <v>46202</v>
      </c>
      <c r="D222" t="inlineStr">
        <is>
          <t>JÖNKÖPINGS LÄN</t>
        </is>
      </c>
      <c r="E222" t="inlineStr">
        <is>
          <t>HABO</t>
        </is>
      </c>
      <c r="G222" t="n">
        <v>3</v>
      </c>
      <c r="H222" t="n">
        <v>0</v>
      </c>
      <c r="I222" t="n">
        <v>0</v>
      </c>
      <c r="J222" t="n">
        <v>0</v>
      </c>
      <c r="K222" t="n">
        <v>0</v>
      </c>
      <c r="L222" t="n">
        <v>0</v>
      </c>
      <c r="M222" t="n">
        <v>0</v>
      </c>
      <c r="N222" t="n">
        <v>0</v>
      </c>
      <c r="O222" t="n">
        <v>0</v>
      </c>
      <c r="P222" t="n">
        <v>0</v>
      </c>
      <c r="Q222" t="n">
        <v>0</v>
      </c>
      <c r="R222" s="2" t="inlineStr"/>
    </row>
    <row r="223" ht="15" customHeight="1">
      <c r="A223" t="inlineStr">
        <is>
          <t>A 53300-2022</t>
        </is>
      </c>
      <c r="B223" s="1" t="n">
        <v>44877</v>
      </c>
      <c r="C223" s="1" t="n">
        <v>46202</v>
      </c>
      <c r="D223" t="inlineStr">
        <is>
          <t>JÖNKÖPINGS LÄN</t>
        </is>
      </c>
      <c r="E223" t="inlineStr">
        <is>
          <t>HABO</t>
        </is>
      </c>
      <c r="G223" t="n">
        <v>2.2</v>
      </c>
      <c r="H223" t="n">
        <v>0</v>
      </c>
      <c r="I223" t="n">
        <v>0</v>
      </c>
      <c r="J223" t="n">
        <v>0</v>
      </c>
      <c r="K223" t="n">
        <v>0</v>
      </c>
      <c r="L223" t="n">
        <v>0</v>
      </c>
      <c r="M223" t="n">
        <v>0</v>
      </c>
      <c r="N223" t="n">
        <v>0</v>
      </c>
      <c r="O223" t="n">
        <v>0</v>
      </c>
      <c r="P223" t="n">
        <v>0</v>
      </c>
      <c r="Q223" t="n">
        <v>0</v>
      </c>
      <c r="R223" s="2" t="inlineStr"/>
    </row>
    <row r="224" ht="15" customHeight="1">
      <c r="A224" t="inlineStr">
        <is>
          <t>A 38069-2025</t>
        </is>
      </c>
      <c r="B224" s="1" t="n">
        <v>45882</v>
      </c>
      <c r="C224" s="1" t="n">
        <v>46202</v>
      </c>
      <c r="D224" t="inlineStr">
        <is>
          <t>JÖNKÖPINGS LÄN</t>
        </is>
      </c>
      <c r="E224" t="inlineStr">
        <is>
          <t>HABO</t>
        </is>
      </c>
      <c r="F224" t="inlineStr">
        <is>
          <t>Allmännings- och besparingsskogar</t>
        </is>
      </c>
      <c r="G224" t="n">
        <v>6.8</v>
      </c>
      <c r="H224" t="n">
        <v>0</v>
      </c>
      <c r="I224" t="n">
        <v>0</v>
      </c>
      <c r="J224" t="n">
        <v>0</v>
      </c>
      <c r="K224" t="n">
        <v>0</v>
      </c>
      <c r="L224" t="n">
        <v>0</v>
      </c>
      <c r="M224" t="n">
        <v>0</v>
      </c>
      <c r="N224" t="n">
        <v>0</v>
      </c>
      <c r="O224" t="n">
        <v>0</v>
      </c>
      <c r="P224" t="n">
        <v>0</v>
      </c>
      <c r="Q224" t="n">
        <v>0</v>
      </c>
      <c r="R224" s="2" t="inlineStr"/>
    </row>
    <row r="225" ht="15" customHeight="1">
      <c r="A225" t="inlineStr">
        <is>
          <t>A 38065-2025</t>
        </is>
      </c>
      <c r="B225" s="1" t="n">
        <v>45882</v>
      </c>
      <c r="C225" s="1" t="n">
        <v>46202</v>
      </c>
      <c r="D225" t="inlineStr">
        <is>
          <t>JÖNKÖPINGS LÄN</t>
        </is>
      </c>
      <c r="E225" t="inlineStr">
        <is>
          <t>HABO</t>
        </is>
      </c>
      <c r="F225" t="inlineStr">
        <is>
          <t>Allmännings- och besparingsskogar</t>
        </is>
      </c>
      <c r="G225" t="n">
        <v>4.1</v>
      </c>
      <c r="H225" t="n">
        <v>0</v>
      </c>
      <c r="I225" t="n">
        <v>0</v>
      </c>
      <c r="J225" t="n">
        <v>0</v>
      </c>
      <c r="K225" t="n">
        <v>0</v>
      </c>
      <c r="L225" t="n">
        <v>0</v>
      </c>
      <c r="M225" t="n">
        <v>0</v>
      </c>
      <c r="N225" t="n">
        <v>0</v>
      </c>
      <c r="O225" t="n">
        <v>0</v>
      </c>
      <c r="P225" t="n">
        <v>0</v>
      </c>
      <c r="Q225" t="n">
        <v>0</v>
      </c>
      <c r="R225" s="2" t="inlineStr"/>
    </row>
    <row r="226" ht="15" customHeight="1">
      <c r="A226" t="inlineStr">
        <is>
          <t>A 58452-2021</t>
        </is>
      </c>
      <c r="B226" s="1" t="n">
        <v>44488</v>
      </c>
      <c r="C226" s="1" t="n">
        <v>46202</v>
      </c>
      <c r="D226" t="inlineStr">
        <is>
          <t>JÖNKÖPINGS LÄN</t>
        </is>
      </c>
      <c r="E226" t="inlineStr">
        <is>
          <t>HABO</t>
        </is>
      </c>
      <c r="G226" t="n">
        <v>2.1</v>
      </c>
      <c r="H226" t="n">
        <v>0</v>
      </c>
      <c r="I226" t="n">
        <v>0</v>
      </c>
      <c r="J226" t="n">
        <v>0</v>
      </c>
      <c r="K226" t="n">
        <v>0</v>
      </c>
      <c r="L226" t="n">
        <v>0</v>
      </c>
      <c r="M226" t="n">
        <v>0</v>
      </c>
      <c r="N226" t="n">
        <v>0</v>
      </c>
      <c r="O226" t="n">
        <v>0</v>
      </c>
      <c r="P226" t="n">
        <v>0</v>
      </c>
      <c r="Q226" t="n">
        <v>0</v>
      </c>
      <c r="R226" s="2" t="inlineStr"/>
    </row>
    <row r="227" ht="15" customHeight="1">
      <c r="A227" t="inlineStr">
        <is>
          <t>A 14724-2024</t>
        </is>
      </c>
      <c r="B227" s="1" t="n">
        <v>45397</v>
      </c>
      <c r="C227" s="1" t="n">
        <v>46202</v>
      </c>
      <c r="D227" t="inlineStr">
        <is>
          <t>JÖNKÖPINGS LÄN</t>
        </is>
      </c>
      <c r="E227" t="inlineStr">
        <is>
          <t>HABO</t>
        </is>
      </c>
      <c r="G227" t="n">
        <v>1</v>
      </c>
      <c r="H227" t="n">
        <v>0</v>
      </c>
      <c r="I227" t="n">
        <v>0</v>
      </c>
      <c r="J227" t="n">
        <v>0</v>
      </c>
      <c r="K227" t="n">
        <v>0</v>
      </c>
      <c r="L227" t="n">
        <v>0</v>
      </c>
      <c r="M227" t="n">
        <v>0</v>
      </c>
      <c r="N227" t="n">
        <v>0</v>
      </c>
      <c r="O227" t="n">
        <v>0</v>
      </c>
      <c r="P227" t="n">
        <v>0</v>
      </c>
      <c r="Q227" t="n">
        <v>0</v>
      </c>
      <c r="R227" s="2" t="inlineStr"/>
    </row>
    <row r="228" ht="15" customHeight="1">
      <c r="A228" t="inlineStr">
        <is>
          <t>A 38125-2025</t>
        </is>
      </c>
      <c r="B228" s="1" t="n">
        <v>45882</v>
      </c>
      <c r="C228" s="1" t="n">
        <v>46202</v>
      </c>
      <c r="D228" t="inlineStr">
        <is>
          <t>JÖNKÖPINGS LÄN</t>
        </is>
      </c>
      <c r="E228" t="inlineStr">
        <is>
          <t>HABO</t>
        </is>
      </c>
      <c r="G228" t="n">
        <v>0.8</v>
      </c>
      <c r="H228" t="n">
        <v>0</v>
      </c>
      <c r="I228" t="n">
        <v>0</v>
      </c>
      <c r="J228" t="n">
        <v>0</v>
      </c>
      <c r="K228" t="n">
        <v>0</v>
      </c>
      <c r="L228" t="n">
        <v>0</v>
      </c>
      <c r="M228" t="n">
        <v>0</v>
      </c>
      <c r="N228" t="n">
        <v>0</v>
      </c>
      <c r="O228" t="n">
        <v>0</v>
      </c>
      <c r="P228" t="n">
        <v>0</v>
      </c>
      <c r="Q228" t="n">
        <v>0</v>
      </c>
      <c r="R228" s="2" t="inlineStr"/>
    </row>
    <row r="229" ht="15" customHeight="1">
      <c r="A229" t="inlineStr">
        <is>
          <t>A 38122-2025</t>
        </is>
      </c>
      <c r="B229" s="1" t="n">
        <v>45882</v>
      </c>
      <c r="C229" s="1" t="n">
        <v>46202</v>
      </c>
      <c r="D229" t="inlineStr">
        <is>
          <t>JÖNKÖPINGS LÄN</t>
        </is>
      </c>
      <c r="E229" t="inlineStr">
        <is>
          <t>HABO</t>
        </is>
      </c>
      <c r="G229" t="n">
        <v>0.8</v>
      </c>
      <c r="H229" t="n">
        <v>0</v>
      </c>
      <c r="I229" t="n">
        <v>0</v>
      </c>
      <c r="J229" t="n">
        <v>0</v>
      </c>
      <c r="K229" t="n">
        <v>0</v>
      </c>
      <c r="L229" t="n">
        <v>0</v>
      </c>
      <c r="M229" t="n">
        <v>0</v>
      </c>
      <c r="N229" t="n">
        <v>0</v>
      </c>
      <c r="O229" t="n">
        <v>0</v>
      </c>
      <c r="P229" t="n">
        <v>0</v>
      </c>
      <c r="Q229" t="n">
        <v>0</v>
      </c>
      <c r="R229" s="2" t="inlineStr"/>
    </row>
    <row r="230" ht="15" customHeight="1">
      <c r="A230" t="inlineStr">
        <is>
          <t>A 1699-2024</t>
        </is>
      </c>
      <c r="B230" s="1" t="n">
        <v>45307</v>
      </c>
      <c r="C230" s="1" t="n">
        <v>46202</v>
      </c>
      <c r="D230" t="inlineStr">
        <is>
          <t>JÖNKÖPINGS LÄN</t>
        </is>
      </c>
      <c r="E230" t="inlineStr">
        <is>
          <t>HABO</t>
        </is>
      </c>
      <c r="G230" t="n">
        <v>1</v>
      </c>
      <c r="H230" t="n">
        <v>0</v>
      </c>
      <c r="I230" t="n">
        <v>0</v>
      </c>
      <c r="J230" t="n">
        <v>0</v>
      </c>
      <c r="K230" t="n">
        <v>0</v>
      </c>
      <c r="L230" t="n">
        <v>0</v>
      </c>
      <c r="M230" t="n">
        <v>0</v>
      </c>
      <c r="N230" t="n">
        <v>0</v>
      </c>
      <c r="O230" t="n">
        <v>0</v>
      </c>
      <c r="P230" t="n">
        <v>0</v>
      </c>
      <c r="Q230" t="n">
        <v>0</v>
      </c>
      <c r="R230" s="2" t="inlineStr"/>
    </row>
    <row r="231" ht="15" customHeight="1">
      <c r="A231" t="inlineStr">
        <is>
          <t>A 38759-2025</t>
        </is>
      </c>
      <c r="B231" s="1" t="n">
        <v>45887</v>
      </c>
      <c r="C231" s="1" t="n">
        <v>46202</v>
      </c>
      <c r="D231" t="inlineStr">
        <is>
          <t>JÖNKÖPINGS LÄN</t>
        </is>
      </c>
      <c r="E231" t="inlineStr">
        <is>
          <t>HABO</t>
        </is>
      </c>
      <c r="G231" t="n">
        <v>1.9</v>
      </c>
      <c r="H231" t="n">
        <v>0</v>
      </c>
      <c r="I231" t="n">
        <v>0</v>
      </c>
      <c r="J231" t="n">
        <v>0</v>
      </c>
      <c r="K231" t="n">
        <v>0</v>
      </c>
      <c r="L231" t="n">
        <v>0</v>
      </c>
      <c r="M231" t="n">
        <v>0</v>
      </c>
      <c r="N231" t="n">
        <v>0</v>
      </c>
      <c r="O231" t="n">
        <v>0</v>
      </c>
      <c r="P231" t="n">
        <v>0</v>
      </c>
      <c r="Q231" t="n">
        <v>0</v>
      </c>
      <c r="R231" s="2" t="inlineStr"/>
    </row>
    <row r="232" ht="15" customHeight="1">
      <c r="A232" t="inlineStr">
        <is>
          <t>A 46062-2024</t>
        </is>
      </c>
      <c r="B232" s="1" t="n">
        <v>45580</v>
      </c>
      <c r="C232" s="1" t="n">
        <v>46202</v>
      </c>
      <c r="D232" t="inlineStr">
        <is>
          <t>JÖNKÖPINGS LÄN</t>
        </is>
      </c>
      <c r="E232" t="inlineStr">
        <is>
          <t>HABO</t>
        </is>
      </c>
      <c r="G232" t="n">
        <v>1</v>
      </c>
      <c r="H232" t="n">
        <v>0</v>
      </c>
      <c r="I232" t="n">
        <v>0</v>
      </c>
      <c r="J232" t="n">
        <v>0</v>
      </c>
      <c r="K232" t="n">
        <v>0</v>
      </c>
      <c r="L232" t="n">
        <v>0</v>
      </c>
      <c r="M232" t="n">
        <v>0</v>
      </c>
      <c r="N232" t="n">
        <v>0</v>
      </c>
      <c r="O232" t="n">
        <v>0</v>
      </c>
      <c r="P232" t="n">
        <v>0</v>
      </c>
      <c r="Q232" t="n">
        <v>0</v>
      </c>
      <c r="R232" s="2" t="inlineStr"/>
    </row>
    <row r="233" ht="15" customHeight="1">
      <c r="A233" t="inlineStr">
        <is>
          <t>A 13880-2023</t>
        </is>
      </c>
      <c r="B233" s="1" t="n">
        <v>45007</v>
      </c>
      <c r="C233" s="1" t="n">
        <v>46202</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36483-2023</t>
        </is>
      </c>
      <c r="B234" s="1" t="n">
        <v>45152</v>
      </c>
      <c r="C234" s="1" t="n">
        <v>46202</v>
      </c>
      <c r="D234" t="inlineStr">
        <is>
          <t>JÖNKÖPINGS LÄN</t>
        </is>
      </c>
      <c r="E234" t="inlineStr">
        <is>
          <t>HABO</t>
        </is>
      </c>
      <c r="G234" t="n">
        <v>0.8</v>
      </c>
      <c r="H234" t="n">
        <v>0</v>
      </c>
      <c r="I234" t="n">
        <v>0</v>
      </c>
      <c r="J234" t="n">
        <v>0</v>
      </c>
      <c r="K234" t="n">
        <v>0</v>
      </c>
      <c r="L234" t="n">
        <v>0</v>
      </c>
      <c r="M234" t="n">
        <v>0</v>
      </c>
      <c r="N234" t="n">
        <v>0</v>
      </c>
      <c r="O234" t="n">
        <v>0</v>
      </c>
      <c r="P234" t="n">
        <v>0</v>
      </c>
      <c r="Q234" t="n">
        <v>0</v>
      </c>
      <c r="R234" s="2" t="inlineStr"/>
    </row>
    <row r="235" ht="15" customHeight="1">
      <c r="A235" t="inlineStr">
        <is>
          <t>A 22691-2025</t>
        </is>
      </c>
      <c r="B235" s="1" t="n">
        <v>45789</v>
      </c>
      <c r="C235" s="1" t="n">
        <v>46202</v>
      </c>
      <c r="D235" t="inlineStr">
        <is>
          <t>JÖNKÖPINGS LÄN</t>
        </is>
      </c>
      <c r="E235" t="inlineStr">
        <is>
          <t>HABO</t>
        </is>
      </c>
      <c r="G235" t="n">
        <v>3</v>
      </c>
      <c r="H235" t="n">
        <v>0</v>
      </c>
      <c r="I235" t="n">
        <v>0</v>
      </c>
      <c r="J235" t="n">
        <v>0</v>
      </c>
      <c r="K235" t="n">
        <v>0</v>
      </c>
      <c r="L235" t="n">
        <v>0</v>
      </c>
      <c r="M235" t="n">
        <v>0</v>
      </c>
      <c r="N235" t="n">
        <v>0</v>
      </c>
      <c r="O235" t="n">
        <v>0</v>
      </c>
      <c r="P235" t="n">
        <v>0</v>
      </c>
      <c r="Q235" t="n">
        <v>0</v>
      </c>
      <c r="R235" s="2" t="inlineStr"/>
    </row>
    <row r="236" ht="15" customHeight="1">
      <c r="A236" t="inlineStr">
        <is>
          <t>A 31909-2024</t>
        </is>
      </c>
      <c r="B236" s="1" t="n">
        <v>45510</v>
      </c>
      <c r="C236" s="1" t="n">
        <v>46202</v>
      </c>
      <c r="D236" t="inlineStr">
        <is>
          <t>JÖNKÖPINGS LÄN</t>
        </is>
      </c>
      <c r="E236" t="inlineStr">
        <is>
          <t>HABO</t>
        </is>
      </c>
      <c r="G236" t="n">
        <v>1.3</v>
      </c>
      <c r="H236" t="n">
        <v>0</v>
      </c>
      <c r="I236" t="n">
        <v>0</v>
      </c>
      <c r="J236" t="n">
        <v>0</v>
      </c>
      <c r="K236" t="n">
        <v>0</v>
      </c>
      <c r="L236" t="n">
        <v>0</v>
      </c>
      <c r="M236" t="n">
        <v>0</v>
      </c>
      <c r="N236" t="n">
        <v>0</v>
      </c>
      <c r="O236" t="n">
        <v>0</v>
      </c>
      <c r="P236" t="n">
        <v>0</v>
      </c>
      <c r="Q236" t="n">
        <v>0</v>
      </c>
      <c r="R236" s="2" t="inlineStr"/>
    </row>
    <row r="237" ht="15" customHeight="1">
      <c r="A237" t="inlineStr">
        <is>
          <t>A 45275-2024</t>
        </is>
      </c>
      <c r="B237" s="1" t="n">
        <v>45576</v>
      </c>
      <c r="C237" s="1" t="n">
        <v>46202</v>
      </c>
      <c r="D237" t="inlineStr">
        <is>
          <t>JÖNKÖPINGS LÄN</t>
        </is>
      </c>
      <c r="E237" t="inlineStr">
        <is>
          <t>HABO</t>
        </is>
      </c>
      <c r="G237" t="n">
        <v>0.4</v>
      </c>
      <c r="H237" t="n">
        <v>0</v>
      </c>
      <c r="I237" t="n">
        <v>0</v>
      </c>
      <c r="J237" t="n">
        <v>0</v>
      </c>
      <c r="K237" t="n">
        <v>0</v>
      </c>
      <c r="L237" t="n">
        <v>0</v>
      </c>
      <c r="M237" t="n">
        <v>0</v>
      </c>
      <c r="N237" t="n">
        <v>0</v>
      </c>
      <c r="O237" t="n">
        <v>0</v>
      </c>
      <c r="P237" t="n">
        <v>0</v>
      </c>
      <c r="Q237" t="n">
        <v>0</v>
      </c>
      <c r="R237" s="2" t="inlineStr"/>
    </row>
    <row r="238" ht="15" customHeight="1">
      <c r="A238" t="inlineStr">
        <is>
          <t>A 40677-2025</t>
        </is>
      </c>
      <c r="B238" s="1" t="n">
        <v>45896</v>
      </c>
      <c r="C238" s="1" t="n">
        <v>46202</v>
      </c>
      <c r="D238" t="inlineStr">
        <is>
          <t>JÖNKÖPINGS LÄN</t>
        </is>
      </c>
      <c r="E238" t="inlineStr">
        <is>
          <t>HABO</t>
        </is>
      </c>
      <c r="G238" t="n">
        <v>1.7</v>
      </c>
      <c r="H238" t="n">
        <v>0</v>
      </c>
      <c r="I238" t="n">
        <v>0</v>
      </c>
      <c r="J238" t="n">
        <v>0</v>
      </c>
      <c r="K238" t="n">
        <v>0</v>
      </c>
      <c r="L238" t="n">
        <v>0</v>
      </c>
      <c r="M238" t="n">
        <v>0</v>
      </c>
      <c r="N238" t="n">
        <v>0</v>
      </c>
      <c r="O238" t="n">
        <v>0</v>
      </c>
      <c r="P238" t="n">
        <v>0</v>
      </c>
      <c r="Q238" t="n">
        <v>0</v>
      </c>
      <c r="R238" s="2" t="inlineStr"/>
    </row>
    <row r="239" ht="15" customHeight="1">
      <c r="A239" t="inlineStr">
        <is>
          <t>A 58666-2024</t>
        </is>
      </c>
      <c r="B239" s="1" t="n">
        <v>45635</v>
      </c>
      <c r="C239" s="1" t="n">
        <v>46202</v>
      </c>
      <c r="D239" t="inlineStr">
        <is>
          <t>JÖNKÖPINGS LÄN</t>
        </is>
      </c>
      <c r="E239" t="inlineStr">
        <is>
          <t>HABO</t>
        </is>
      </c>
      <c r="G239" t="n">
        <v>3.8</v>
      </c>
      <c r="H239" t="n">
        <v>0</v>
      </c>
      <c r="I239" t="n">
        <v>0</v>
      </c>
      <c r="J239" t="n">
        <v>0</v>
      </c>
      <c r="K239" t="n">
        <v>0</v>
      </c>
      <c r="L239" t="n">
        <v>0</v>
      </c>
      <c r="M239" t="n">
        <v>0</v>
      </c>
      <c r="N239" t="n">
        <v>0</v>
      </c>
      <c r="O239" t="n">
        <v>0</v>
      </c>
      <c r="P239" t="n">
        <v>0</v>
      </c>
      <c r="Q239" t="n">
        <v>0</v>
      </c>
      <c r="R239" s="2" t="inlineStr"/>
    </row>
    <row r="240" ht="15" customHeight="1">
      <c r="A240" t="inlineStr">
        <is>
          <t>A 51447-2025</t>
        </is>
      </c>
      <c r="B240" s="1" t="n">
        <v>45950</v>
      </c>
      <c r="C240" s="1" t="n">
        <v>46202</v>
      </c>
      <c r="D240" t="inlineStr">
        <is>
          <t>JÖNKÖPINGS LÄN</t>
        </is>
      </c>
      <c r="E240" t="inlineStr">
        <is>
          <t>HABO</t>
        </is>
      </c>
      <c r="G240" t="n">
        <v>3.8</v>
      </c>
      <c r="H240" t="n">
        <v>0</v>
      </c>
      <c r="I240" t="n">
        <v>0</v>
      </c>
      <c r="J240" t="n">
        <v>0</v>
      </c>
      <c r="K240" t="n">
        <v>0</v>
      </c>
      <c r="L240" t="n">
        <v>0</v>
      </c>
      <c r="M240" t="n">
        <v>0</v>
      </c>
      <c r="N240" t="n">
        <v>0</v>
      </c>
      <c r="O240" t="n">
        <v>0</v>
      </c>
      <c r="P240" t="n">
        <v>0</v>
      </c>
      <c r="Q240" t="n">
        <v>0</v>
      </c>
      <c r="R240" s="2" t="inlineStr"/>
    </row>
    <row r="241" ht="15" customHeight="1">
      <c r="A241" t="inlineStr">
        <is>
          <t>A 51676-2025</t>
        </is>
      </c>
      <c r="B241" s="1" t="n">
        <v>45951</v>
      </c>
      <c r="C241" s="1" t="n">
        <v>46202</v>
      </c>
      <c r="D241" t="inlineStr">
        <is>
          <t>JÖNKÖPINGS LÄN</t>
        </is>
      </c>
      <c r="E241" t="inlineStr">
        <is>
          <t>HABO</t>
        </is>
      </c>
      <c r="G241" t="n">
        <v>2.3</v>
      </c>
      <c r="H241" t="n">
        <v>0</v>
      </c>
      <c r="I241" t="n">
        <v>0</v>
      </c>
      <c r="J241" t="n">
        <v>0</v>
      </c>
      <c r="K241" t="n">
        <v>0</v>
      </c>
      <c r="L241" t="n">
        <v>0</v>
      </c>
      <c r="M241" t="n">
        <v>0</v>
      </c>
      <c r="N241" t="n">
        <v>0</v>
      </c>
      <c r="O241" t="n">
        <v>0</v>
      </c>
      <c r="P241" t="n">
        <v>0</v>
      </c>
      <c r="Q241" t="n">
        <v>0</v>
      </c>
      <c r="R241" s="2" t="inlineStr"/>
    </row>
    <row r="242" ht="15" customHeight="1">
      <c r="A242" t="inlineStr">
        <is>
          <t>A 41962-2025</t>
        </is>
      </c>
      <c r="B242" s="1" t="n">
        <v>45903</v>
      </c>
      <c r="C242" s="1" t="n">
        <v>46202</v>
      </c>
      <c r="D242" t="inlineStr">
        <is>
          <t>JÖNKÖPINGS LÄN</t>
        </is>
      </c>
      <c r="E242" t="inlineStr">
        <is>
          <t>HABO</t>
        </is>
      </c>
      <c r="G242" t="n">
        <v>0.7</v>
      </c>
      <c r="H242" t="n">
        <v>0</v>
      </c>
      <c r="I242" t="n">
        <v>0</v>
      </c>
      <c r="J242" t="n">
        <v>0</v>
      </c>
      <c r="K242" t="n">
        <v>0</v>
      </c>
      <c r="L242" t="n">
        <v>0</v>
      </c>
      <c r="M242" t="n">
        <v>0</v>
      </c>
      <c r="N242" t="n">
        <v>0</v>
      </c>
      <c r="O242" t="n">
        <v>0</v>
      </c>
      <c r="P242" t="n">
        <v>0</v>
      </c>
      <c r="Q242" t="n">
        <v>0</v>
      </c>
      <c r="R242" s="2" t="inlineStr"/>
    </row>
    <row r="243" ht="15" customHeight="1">
      <c r="A243" t="inlineStr">
        <is>
          <t>A 35775-2022</t>
        </is>
      </c>
      <c r="B243" s="1" t="n">
        <v>44801</v>
      </c>
      <c r="C243" s="1" t="n">
        <v>46202</v>
      </c>
      <c r="D243" t="inlineStr">
        <is>
          <t>JÖNKÖPINGS LÄN</t>
        </is>
      </c>
      <c r="E243" t="inlineStr">
        <is>
          <t>HABO</t>
        </is>
      </c>
      <c r="G243" t="n">
        <v>0.9</v>
      </c>
      <c r="H243" t="n">
        <v>0</v>
      </c>
      <c r="I243" t="n">
        <v>0</v>
      </c>
      <c r="J243" t="n">
        <v>0</v>
      </c>
      <c r="K243" t="n">
        <v>0</v>
      </c>
      <c r="L243" t="n">
        <v>0</v>
      </c>
      <c r="M243" t="n">
        <v>0</v>
      </c>
      <c r="N243" t="n">
        <v>0</v>
      </c>
      <c r="O243" t="n">
        <v>0</v>
      </c>
      <c r="P243" t="n">
        <v>0</v>
      </c>
      <c r="Q243" t="n">
        <v>0</v>
      </c>
      <c r="R243" s="2" t="inlineStr"/>
    </row>
    <row r="244" ht="15" customHeight="1">
      <c r="A244" t="inlineStr">
        <is>
          <t>A 17519-2025</t>
        </is>
      </c>
      <c r="B244" s="1" t="n">
        <v>45757</v>
      </c>
      <c r="C244" s="1" t="n">
        <v>46202</v>
      </c>
      <c r="D244" t="inlineStr">
        <is>
          <t>JÖNKÖPINGS LÄN</t>
        </is>
      </c>
      <c r="E244" t="inlineStr">
        <is>
          <t>HABO</t>
        </is>
      </c>
      <c r="G244" t="n">
        <v>0.6</v>
      </c>
      <c r="H244" t="n">
        <v>0</v>
      </c>
      <c r="I244" t="n">
        <v>0</v>
      </c>
      <c r="J244" t="n">
        <v>0</v>
      </c>
      <c r="K244" t="n">
        <v>0</v>
      </c>
      <c r="L244" t="n">
        <v>0</v>
      </c>
      <c r="M244" t="n">
        <v>0</v>
      </c>
      <c r="N244" t="n">
        <v>0</v>
      </c>
      <c r="O244" t="n">
        <v>0</v>
      </c>
      <c r="P244" t="n">
        <v>0</v>
      </c>
      <c r="Q244" t="n">
        <v>0</v>
      </c>
      <c r="R244" s="2" t="inlineStr"/>
    </row>
    <row r="245" ht="15" customHeight="1">
      <c r="A245" t="inlineStr">
        <is>
          <t>A 17520-2025</t>
        </is>
      </c>
      <c r="B245" s="1" t="n">
        <v>45757</v>
      </c>
      <c r="C245" s="1" t="n">
        <v>46202</v>
      </c>
      <c r="D245" t="inlineStr">
        <is>
          <t>JÖNKÖPINGS LÄN</t>
        </is>
      </c>
      <c r="E245" t="inlineStr">
        <is>
          <t>HABO</t>
        </is>
      </c>
      <c r="G245" t="n">
        <v>1.7</v>
      </c>
      <c r="H245" t="n">
        <v>0</v>
      </c>
      <c r="I245" t="n">
        <v>0</v>
      </c>
      <c r="J245" t="n">
        <v>0</v>
      </c>
      <c r="K245" t="n">
        <v>0</v>
      </c>
      <c r="L245" t="n">
        <v>0</v>
      </c>
      <c r="M245" t="n">
        <v>0</v>
      </c>
      <c r="N245" t="n">
        <v>0</v>
      </c>
      <c r="O245" t="n">
        <v>0</v>
      </c>
      <c r="P245" t="n">
        <v>0</v>
      </c>
      <c r="Q245" t="n">
        <v>0</v>
      </c>
      <c r="R245" s="2" t="inlineStr"/>
    </row>
    <row r="246" ht="15" customHeight="1">
      <c r="A246" t="inlineStr">
        <is>
          <t>A 52055-2024</t>
        </is>
      </c>
      <c r="B246" s="1" t="n">
        <v>45608</v>
      </c>
      <c r="C246" s="1" t="n">
        <v>46202</v>
      </c>
      <c r="D246" t="inlineStr">
        <is>
          <t>JÖNKÖPINGS LÄN</t>
        </is>
      </c>
      <c r="E246" t="inlineStr">
        <is>
          <t>HABO</t>
        </is>
      </c>
      <c r="G246" t="n">
        <v>1.1</v>
      </c>
      <c r="H246" t="n">
        <v>0</v>
      </c>
      <c r="I246" t="n">
        <v>0</v>
      </c>
      <c r="J246" t="n">
        <v>0</v>
      </c>
      <c r="K246" t="n">
        <v>0</v>
      </c>
      <c r="L246" t="n">
        <v>0</v>
      </c>
      <c r="M246" t="n">
        <v>0</v>
      </c>
      <c r="N246" t="n">
        <v>0</v>
      </c>
      <c r="O246" t="n">
        <v>0</v>
      </c>
      <c r="P246" t="n">
        <v>0</v>
      </c>
      <c r="Q246" t="n">
        <v>0</v>
      </c>
      <c r="R246" s="2" t="inlineStr"/>
    </row>
    <row r="247" ht="15" customHeight="1">
      <c r="A247" t="inlineStr">
        <is>
          <t>A 47836-2023</t>
        </is>
      </c>
      <c r="B247" s="1" t="n">
        <v>45204</v>
      </c>
      <c r="C247" s="1" t="n">
        <v>46202</v>
      </c>
      <c r="D247" t="inlineStr">
        <is>
          <t>JÖNKÖPINGS LÄN</t>
        </is>
      </c>
      <c r="E247" t="inlineStr">
        <is>
          <t>HABO</t>
        </is>
      </c>
      <c r="G247" t="n">
        <v>4.8</v>
      </c>
      <c r="H247" t="n">
        <v>0</v>
      </c>
      <c r="I247" t="n">
        <v>0</v>
      </c>
      <c r="J247" t="n">
        <v>0</v>
      </c>
      <c r="K247" t="n">
        <v>0</v>
      </c>
      <c r="L247" t="n">
        <v>0</v>
      </c>
      <c r="M247" t="n">
        <v>0</v>
      </c>
      <c r="N247" t="n">
        <v>0</v>
      </c>
      <c r="O247" t="n">
        <v>0</v>
      </c>
      <c r="P247" t="n">
        <v>0</v>
      </c>
      <c r="Q247" t="n">
        <v>0</v>
      </c>
      <c r="R247" s="2" t="inlineStr"/>
    </row>
    <row r="248" ht="15" customHeight="1">
      <c r="A248" t="inlineStr">
        <is>
          <t>A 49448-2024</t>
        </is>
      </c>
      <c r="B248" s="1" t="n">
        <v>45595</v>
      </c>
      <c r="C248" s="1" t="n">
        <v>46202</v>
      </c>
      <c r="D248" t="inlineStr">
        <is>
          <t>JÖNKÖPINGS LÄN</t>
        </is>
      </c>
      <c r="E248" t="inlineStr">
        <is>
          <t>HABO</t>
        </is>
      </c>
      <c r="G248" t="n">
        <v>2</v>
      </c>
      <c r="H248" t="n">
        <v>0</v>
      </c>
      <c r="I248" t="n">
        <v>0</v>
      </c>
      <c r="J248" t="n">
        <v>0</v>
      </c>
      <c r="K248" t="n">
        <v>0</v>
      </c>
      <c r="L248" t="n">
        <v>0</v>
      </c>
      <c r="M248" t="n">
        <v>0</v>
      </c>
      <c r="N248" t="n">
        <v>0</v>
      </c>
      <c r="O248" t="n">
        <v>0</v>
      </c>
      <c r="P248" t="n">
        <v>0</v>
      </c>
      <c r="Q248" t="n">
        <v>0</v>
      </c>
      <c r="R248" s="2" t="inlineStr"/>
    </row>
    <row r="249" ht="15" customHeight="1">
      <c r="A249" t="inlineStr">
        <is>
          <t>A 13850-2024</t>
        </is>
      </c>
      <c r="B249" s="1" t="n">
        <v>45390</v>
      </c>
      <c r="C249" s="1" t="n">
        <v>46202</v>
      </c>
      <c r="D249" t="inlineStr">
        <is>
          <t>JÖNKÖPINGS LÄN</t>
        </is>
      </c>
      <c r="E249" t="inlineStr">
        <is>
          <t>HABO</t>
        </is>
      </c>
      <c r="G249" t="n">
        <v>4.6</v>
      </c>
      <c r="H249" t="n">
        <v>0</v>
      </c>
      <c r="I249" t="n">
        <v>0</v>
      </c>
      <c r="J249" t="n">
        <v>0</v>
      </c>
      <c r="K249" t="n">
        <v>0</v>
      </c>
      <c r="L249" t="n">
        <v>0</v>
      </c>
      <c r="M249" t="n">
        <v>0</v>
      </c>
      <c r="N249" t="n">
        <v>0</v>
      </c>
      <c r="O249" t="n">
        <v>0</v>
      </c>
      <c r="P249" t="n">
        <v>0</v>
      </c>
      <c r="Q249" t="n">
        <v>0</v>
      </c>
      <c r="R249" s="2" t="inlineStr"/>
    </row>
    <row r="250" ht="15" customHeight="1">
      <c r="A250" t="inlineStr">
        <is>
          <t>A 57999-2024</t>
        </is>
      </c>
      <c r="B250" s="1" t="n">
        <v>45631</v>
      </c>
      <c r="C250" s="1" t="n">
        <v>46202</v>
      </c>
      <c r="D250" t="inlineStr">
        <is>
          <t>JÖNKÖPINGS LÄN</t>
        </is>
      </c>
      <c r="E250" t="inlineStr">
        <is>
          <t>HABO</t>
        </is>
      </c>
      <c r="G250" t="n">
        <v>1.1</v>
      </c>
      <c r="H250" t="n">
        <v>0</v>
      </c>
      <c r="I250" t="n">
        <v>0</v>
      </c>
      <c r="J250" t="n">
        <v>0</v>
      </c>
      <c r="K250" t="n">
        <v>0</v>
      </c>
      <c r="L250" t="n">
        <v>0</v>
      </c>
      <c r="M250" t="n">
        <v>0</v>
      </c>
      <c r="N250" t="n">
        <v>0</v>
      </c>
      <c r="O250" t="n">
        <v>0</v>
      </c>
      <c r="P250" t="n">
        <v>0</v>
      </c>
      <c r="Q250" t="n">
        <v>0</v>
      </c>
      <c r="R250" s="2" t="inlineStr"/>
    </row>
    <row r="251" ht="15" customHeight="1">
      <c r="A251" t="inlineStr">
        <is>
          <t>A 45321-2025</t>
        </is>
      </c>
      <c r="B251" s="1" t="n">
        <v>45922</v>
      </c>
      <c r="C251" s="1" t="n">
        <v>46202</v>
      </c>
      <c r="D251" t="inlineStr">
        <is>
          <t>JÖNKÖPINGS LÄN</t>
        </is>
      </c>
      <c r="E251" t="inlineStr">
        <is>
          <t>HABO</t>
        </is>
      </c>
      <c r="G251" t="n">
        <v>1</v>
      </c>
      <c r="H251" t="n">
        <v>0</v>
      </c>
      <c r="I251" t="n">
        <v>0</v>
      </c>
      <c r="J251" t="n">
        <v>0</v>
      </c>
      <c r="K251" t="n">
        <v>0</v>
      </c>
      <c r="L251" t="n">
        <v>0</v>
      </c>
      <c r="M251" t="n">
        <v>0</v>
      </c>
      <c r="N251" t="n">
        <v>0</v>
      </c>
      <c r="O251" t="n">
        <v>0</v>
      </c>
      <c r="P251" t="n">
        <v>0</v>
      </c>
      <c r="Q251" t="n">
        <v>0</v>
      </c>
      <c r="R251" s="2" t="inlineStr"/>
    </row>
    <row r="252" ht="15" customHeight="1">
      <c r="A252" t="inlineStr">
        <is>
          <t>A 59928-2022</t>
        </is>
      </c>
      <c r="B252" s="1" t="n">
        <v>44909</v>
      </c>
      <c r="C252" s="1" t="n">
        <v>46202</v>
      </c>
      <c r="D252" t="inlineStr">
        <is>
          <t>JÖNKÖPINGS LÄN</t>
        </is>
      </c>
      <c r="E252" t="inlineStr">
        <is>
          <t>HABO</t>
        </is>
      </c>
      <c r="G252" t="n">
        <v>0.5</v>
      </c>
      <c r="H252" t="n">
        <v>0</v>
      </c>
      <c r="I252" t="n">
        <v>0</v>
      </c>
      <c r="J252" t="n">
        <v>0</v>
      </c>
      <c r="K252" t="n">
        <v>0</v>
      </c>
      <c r="L252" t="n">
        <v>0</v>
      </c>
      <c r="M252" t="n">
        <v>0</v>
      </c>
      <c r="N252" t="n">
        <v>0</v>
      </c>
      <c r="O252" t="n">
        <v>0</v>
      </c>
      <c r="P252" t="n">
        <v>0</v>
      </c>
      <c r="Q252" t="n">
        <v>0</v>
      </c>
      <c r="R252" s="2" t="inlineStr"/>
    </row>
    <row r="253" ht="15" customHeight="1">
      <c r="A253" t="inlineStr">
        <is>
          <t>A 45322-2025</t>
        </is>
      </c>
      <c r="B253" s="1" t="n">
        <v>45922</v>
      </c>
      <c r="C253" s="1" t="n">
        <v>46202</v>
      </c>
      <c r="D253" t="inlineStr">
        <is>
          <t>JÖNKÖPINGS LÄN</t>
        </is>
      </c>
      <c r="E253" t="inlineStr">
        <is>
          <t>HABO</t>
        </is>
      </c>
      <c r="G253" t="n">
        <v>0.7</v>
      </c>
      <c r="H253" t="n">
        <v>0</v>
      </c>
      <c r="I253" t="n">
        <v>0</v>
      </c>
      <c r="J253" t="n">
        <v>0</v>
      </c>
      <c r="K253" t="n">
        <v>0</v>
      </c>
      <c r="L253" t="n">
        <v>0</v>
      </c>
      <c r="M253" t="n">
        <v>0</v>
      </c>
      <c r="N253" t="n">
        <v>0</v>
      </c>
      <c r="O253" t="n">
        <v>0</v>
      </c>
      <c r="P253" t="n">
        <v>0</v>
      </c>
      <c r="Q253" t="n">
        <v>0</v>
      </c>
      <c r="R253" s="2" t="inlineStr"/>
    </row>
    <row r="254" ht="15" customHeight="1">
      <c r="A254" t="inlineStr">
        <is>
          <t>A 55647-2025</t>
        </is>
      </c>
      <c r="B254" s="1" t="n">
        <v>45972</v>
      </c>
      <c r="C254" s="1" t="n">
        <v>46202</v>
      </c>
      <c r="D254" t="inlineStr">
        <is>
          <t>JÖNKÖPINGS LÄN</t>
        </is>
      </c>
      <c r="E254" t="inlineStr">
        <is>
          <t>HABO</t>
        </is>
      </c>
      <c r="G254" t="n">
        <v>0.4</v>
      </c>
      <c r="H254" t="n">
        <v>0</v>
      </c>
      <c r="I254" t="n">
        <v>0</v>
      </c>
      <c r="J254" t="n">
        <v>0</v>
      </c>
      <c r="K254" t="n">
        <v>0</v>
      </c>
      <c r="L254" t="n">
        <v>0</v>
      </c>
      <c r="M254" t="n">
        <v>0</v>
      </c>
      <c r="N254" t="n">
        <v>0</v>
      </c>
      <c r="O254" t="n">
        <v>0</v>
      </c>
      <c r="P254" t="n">
        <v>0</v>
      </c>
      <c r="Q254" t="n">
        <v>0</v>
      </c>
      <c r="R254" s="2" t="inlineStr"/>
    </row>
    <row r="255" ht="15" customHeight="1">
      <c r="A255" t="inlineStr">
        <is>
          <t>A 46589-2025</t>
        </is>
      </c>
      <c r="B255" s="1" t="n">
        <v>45926</v>
      </c>
      <c r="C255" s="1" t="n">
        <v>46202</v>
      </c>
      <c r="D255" t="inlineStr">
        <is>
          <t>JÖNKÖPINGS LÄN</t>
        </is>
      </c>
      <c r="E255" t="inlineStr">
        <is>
          <t>HABO</t>
        </is>
      </c>
      <c r="G255" t="n">
        <v>2.8</v>
      </c>
      <c r="H255" t="n">
        <v>0</v>
      </c>
      <c r="I255" t="n">
        <v>0</v>
      </c>
      <c r="J255" t="n">
        <v>0</v>
      </c>
      <c r="K255" t="n">
        <v>0</v>
      </c>
      <c r="L255" t="n">
        <v>0</v>
      </c>
      <c r="M255" t="n">
        <v>0</v>
      </c>
      <c r="N255" t="n">
        <v>0</v>
      </c>
      <c r="O255" t="n">
        <v>0</v>
      </c>
      <c r="P255" t="n">
        <v>0</v>
      </c>
      <c r="Q255" t="n">
        <v>0</v>
      </c>
      <c r="R255" s="2" t="inlineStr"/>
    </row>
    <row r="256" ht="15" customHeight="1">
      <c r="A256" t="inlineStr">
        <is>
          <t>A 56266-2025</t>
        </is>
      </c>
      <c r="B256" s="1" t="n">
        <v>45974</v>
      </c>
      <c r="C256" s="1" t="n">
        <v>46202</v>
      </c>
      <c r="D256" t="inlineStr">
        <is>
          <t>JÖNKÖPINGS LÄN</t>
        </is>
      </c>
      <c r="E256" t="inlineStr">
        <is>
          <t>HABO</t>
        </is>
      </c>
      <c r="G256" t="n">
        <v>1.4</v>
      </c>
      <c r="H256" t="n">
        <v>0</v>
      </c>
      <c r="I256" t="n">
        <v>0</v>
      </c>
      <c r="J256" t="n">
        <v>0</v>
      </c>
      <c r="K256" t="n">
        <v>0</v>
      </c>
      <c r="L256" t="n">
        <v>0</v>
      </c>
      <c r="M256" t="n">
        <v>0</v>
      </c>
      <c r="N256" t="n">
        <v>0</v>
      </c>
      <c r="O256" t="n">
        <v>0</v>
      </c>
      <c r="P256" t="n">
        <v>0</v>
      </c>
      <c r="Q256" t="n">
        <v>0</v>
      </c>
      <c r="R256" s="2" t="inlineStr"/>
    </row>
    <row r="257" ht="15" customHeight="1">
      <c r="A257" t="inlineStr">
        <is>
          <t>A 47773-2025</t>
        </is>
      </c>
      <c r="B257" s="1" t="n">
        <v>45931</v>
      </c>
      <c r="C257" s="1" t="n">
        <v>46202</v>
      </c>
      <c r="D257" t="inlineStr">
        <is>
          <t>JÖNKÖPINGS LÄN</t>
        </is>
      </c>
      <c r="E257" t="inlineStr">
        <is>
          <t>HABO</t>
        </is>
      </c>
      <c r="G257" t="n">
        <v>1.2</v>
      </c>
      <c r="H257" t="n">
        <v>0</v>
      </c>
      <c r="I257" t="n">
        <v>0</v>
      </c>
      <c r="J257" t="n">
        <v>0</v>
      </c>
      <c r="K257" t="n">
        <v>0</v>
      </c>
      <c r="L257" t="n">
        <v>0</v>
      </c>
      <c r="M257" t="n">
        <v>0</v>
      </c>
      <c r="N257" t="n">
        <v>0</v>
      </c>
      <c r="O257" t="n">
        <v>0</v>
      </c>
      <c r="P257" t="n">
        <v>0</v>
      </c>
      <c r="Q257" t="n">
        <v>0</v>
      </c>
      <c r="R257" s="2" t="inlineStr"/>
    </row>
    <row r="258" ht="15" customHeight="1">
      <c r="A258" t="inlineStr">
        <is>
          <t>A 10167-2024</t>
        </is>
      </c>
      <c r="B258" s="1" t="n">
        <v>45364</v>
      </c>
      <c r="C258" s="1" t="n">
        <v>46202</v>
      </c>
      <c r="D258" t="inlineStr">
        <is>
          <t>JÖNKÖPINGS LÄN</t>
        </is>
      </c>
      <c r="E258" t="inlineStr">
        <is>
          <t>HABO</t>
        </is>
      </c>
      <c r="G258" t="n">
        <v>1.3</v>
      </c>
      <c r="H258" t="n">
        <v>0</v>
      </c>
      <c r="I258" t="n">
        <v>0</v>
      </c>
      <c r="J258" t="n">
        <v>0</v>
      </c>
      <c r="K258" t="n">
        <v>0</v>
      </c>
      <c r="L258" t="n">
        <v>0</v>
      </c>
      <c r="M258" t="n">
        <v>0</v>
      </c>
      <c r="N258" t="n">
        <v>0</v>
      </c>
      <c r="O258" t="n">
        <v>0</v>
      </c>
      <c r="P258" t="n">
        <v>0</v>
      </c>
      <c r="Q258" t="n">
        <v>0</v>
      </c>
      <c r="R258" s="2" t="inlineStr"/>
    </row>
    <row r="259" ht="15" customHeight="1">
      <c r="A259" t="inlineStr">
        <is>
          <t>A 15802-2023</t>
        </is>
      </c>
      <c r="B259" s="1" t="n">
        <v>45021</v>
      </c>
      <c r="C259" s="1" t="n">
        <v>46202</v>
      </c>
      <c r="D259" t="inlineStr">
        <is>
          <t>JÖNKÖPINGS LÄN</t>
        </is>
      </c>
      <c r="E259" t="inlineStr">
        <is>
          <t>HABO</t>
        </is>
      </c>
      <c r="G259" t="n">
        <v>2.2</v>
      </c>
      <c r="H259" t="n">
        <v>0</v>
      </c>
      <c r="I259" t="n">
        <v>0</v>
      </c>
      <c r="J259" t="n">
        <v>0</v>
      </c>
      <c r="K259" t="n">
        <v>0</v>
      </c>
      <c r="L259" t="n">
        <v>0</v>
      </c>
      <c r="M259" t="n">
        <v>0</v>
      </c>
      <c r="N259" t="n">
        <v>0</v>
      </c>
      <c r="O259" t="n">
        <v>0</v>
      </c>
      <c r="P259" t="n">
        <v>0</v>
      </c>
      <c r="Q259" t="n">
        <v>0</v>
      </c>
      <c r="R259" s="2" t="inlineStr"/>
    </row>
    <row r="260" ht="15" customHeight="1">
      <c r="A260" t="inlineStr">
        <is>
          <t>A 12991-2025</t>
        </is>
      </c>
      <c r="B260" s="1" t="n">
        <v>45734</v>
      </c>
      <c r="C260" s="1" t="n">
        <v>46202</v>
      </c>
      <c r="D260" t="inlineStr">
        <is>
          <t>JÖNKÖPINGS LÄN</t>
        </is>
      </c>
      <c r="E260" t="inlineStr">
        <is>
          <t>HABO</t>
        </is>
      </c>
      <c r="G260" t="n">
        <v>0.9</v>
      </c>
      <c r="H260" t="n">
        <v>0</v>
      </c>
      <c r="I260" t="n">
        <v>0</v>
      </c>
      <c r="J260" t="n">
        <v>0</v>
      </c>
      <c r="K260" t="n">
        <v>0</v>
      </c>
      <c r="L260" t="n">
        <v>0</v>
      </c>
      <c r="M260" t="n">
        <v>0</v>
      </c>
      <c r="N260" t="n">
        <v>0</v>
      </c>
      <c r="O260" t="n">
        <v>0</v>
      </c>
      <c r="P260" t="n">
        <v>0</v>
      </c>
      <c r="Q260" t="n">
        <v>0</v>
      </c>
      <c r="R260" s="2" t="inlineStr"/>
    </row>
    <row r="261" ht="15" customHeight="1">
      <c r="A261" t="inlineStr">
        <is>
          <t>A 58527-2025</t>
        </is>
      </c>
      <c r="B261" s="1" t="n">
        <v>45985</v>
      </c>
      <c r="C261" s="1" t="n">
        <v>46202</v>
      </c>
      <c r="D261" t="inlineStr">
        <is>
          <t>JÖNKÖPINGS LÄN</t>
        </is>
      </c>
      <c r="E261" t="inlineStr">
        <is>
          <t>HABO</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58528-2025</t>
        </is>
      </c>
      <c r="B262" s="1" t="n">
        <v>45985</v>
      </c>
      <c r="C262" s="1" t="n">
        <v>46202</v>
      </c>
      <c r="D262" t="inlineStr">
        <is>
          <t>JÖNKÖPINGS LÄN</t>
        </is>
      </c>
      <c r="E262" t="inlineStr">
        <is>
          <t>HABO</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58158-2025</t>
        </is>
      </c>
      <c r="B263" s="1" t="n">
        <v>45982</v>
      </c>
      <c r="C263" s="1" t="n">
        <v>46202</v>
      </c>
      <c r="D263" t="inlineStr">
        <is>
          <t>JÖNKÖPINGS LÄN</t>
        </is>
      </c>
      <c r="E263" t="inlineStr">
        <is>
          <t>HABO</t>
        </is>
      </c>
      <c r="G263" t="n">
        <v>3.7</v>
      </c>
      <c r="H263" t="n">
        <v>0</v>
      </c>
      <c r="I263" t="n">
        <v>0</v>
      </c>
      <c r="J263" t="n">
        <v>0</v>
      </c>
      <c r="K263" t="n">
        <v>0</v>
      </c>
      <c r="L263" t="n">
        <v>0</v>
      </c>
      <c r="M263" t="n">
        <v>0</v>
      </c>
      <c r="N263" t="n">
        <v>0</v>
      </c>
      <c r="O263" t="n">
        <v>0</v>
      </c>
      <c r="P263" t="n">
        <v>0</v>
      </c>
      <c r="Q263" t="n">
        <v>0</v>
      </c>
      <c r="R263" s="2" t="inlineStr"/>
    </row>
    <row r="264" ht="15" customHeight="1">
      <c r="A264" t="inlineStr">
        <is>
          <t>A 26519-2025</t>
        </is>
      </c>
      <c r="B264" s="1" t="n">
        <v>45807</v>
      </c>
      <c r="C264" s="1" t="n">
        <v>46202</v>
      </c>
      <c r="D264" t="inlineStr">
        <is>
          <t>JÖNKÖPINGS LÄN</t>
        </is>
      </c>
      <c r="E264" t="inlineStr">
        <is>
          <t>HABO</t>
        </is>
      </c>
      <c r="G264" t="n">
        <v>0.7</v>
      </c>
      <c r="H264" t="n">
        <v>0</v>
      </c>
      <c r="I264" t="n">
        <v>0</v>
      </c>
      <c r="J264" t="n">
        <v>0</v>
      </c>
      <c r="K264" t="n">
        <v>0</v>
      </c>
      <c r="L264" t="n">
        <v>0</v>
      </c>
      <c r="M264" t="n">
        <v>0</v>
      </c>
      <c r="N264" t="n">
        <v>0</v>
      </c>
      <c r="O264" t="n">
        <v>0</v>
      </c>
      <c r="P264" t="n">
        <v>0</v>
      </c>
      <c r="Q264" t="n">
        <v>0</v>
      </c>
      <c r="R264" s="2" t="inlineStr"/>
    </row>
    <row r="265" ht="15" customHeight="1">
      <c r="A265" t="inlineStr">
        <is>
          <t>A 61275-2025</t>
        </is>
      </c>
      <c r="B265" s="1" t="n">
        <v>46000</v>
      </c>
      <c r="C265" s="1" t="n">
        <v>46202</v>
      </c>
      <c r="D265" t="inlineStr">
        <is>
          <t>JÖNKÖPINGS LÄN</t>
        </is>
      </c>
      <c r="E265" t="inlineStr">
        <is>
          <t>HABO</t>
        </is>
      </c>
      <c r="G265" t="n">
        <v>0.3</v>
      </c>
      <c r="H265" t="n">
        <v>0</v>
      </c>
      <c r="I265" t="n">
        <v>0</v>
      </c>
      <c r="J265" t="n">
        <v>0</v>
      </c>
      <c r="K265" t="n">
        <v>0</v>
      </c>
      <c r="L265" t="n">
        <v>0</v>
      </c>
      <c r="M265" t="n">
        <v>0</v>
      </c>
      <c r="N265" t="n">
        <v>0</v>
      </c>
      <c r="O265" t="n">
        <v>0</v>
      </c>
      <c r="P265" t="n">
        <v>0</v>
      </c>
      <c r="Q265" t="n">
        <v>0</v>
      </c>
      <c r="R265" s="2" t="inlineStr"/>
    </row>
    <row r="266" ht="15" customHeight="1">
      <c r="A266" t="inlineStr">
        <is>
          <t>A 61269-2025</t>
        </is>
      </c>
      <c r="B266" s="1" t="n">
        <v>46000</v>
      </c>
      <c r="C266" s="1" t="n">
        <v>46202</v>
      </c>
      <c r="D266" t="inlineStr">
        <is>
          <t>JÖNKÖPINGS LÄN</t>
        </is>
      </c>
      <c r="E266" t="inlineStr">
        <is>
          <t>HABO</t>
        </is>
      </c>
      <c r="G266" t="n">
        <v>0.9</v>
      </c>
      <c r="H266" t="n">
        <v>0</v>
      </c>
      <c r="I266" t="n">
        <v>0</v>
      </c>
      <c r="J266" t="n">
        <v>0</v>
      </c>
      <c r="K266" t="n">
        <v>0</v>
      </c>
      <c r="L266" t="n">
        <v>0</v>
      </c>
      <c r="M266" t="n">
        <v>0</v>
      </c>
      <c r="N266" t="n">
        <v>0</v>
      </c>
      <c r="O266" t="n">
        <v>0</v>
      </c>
      <c r="P266" t="n">
        <v>0</v>
      </c>
      <c r="Q266" t="n">
        <v>0</v>
      </c>
      <c r="R266" s="2" t="inlineStr"/>
    </row>
    <row r="267" ht="15" customHeight="1">
      <c r="A267" t="inlineStr">
        <is>
          <t>A 61271-2025</t>
        </is>
      </c>
      <c r="B267" s="1" t="n">
        <v>46000</v>
      </c>
      <c r="C267" s="1" t="n">
        <v>46202</v>
      </c>
      <c r="D267" t="inlineStr">
        <is>
          <t>JÖNKÖPINGS LÄN</t>
        </is>
      </c>
      <c r="E267" t="inlineStr">
        <is>
          <t>HABO</t>
        </is>
      </c>
      <c r="G267" t="n">
        <v>0.8</v>
      </c>
      <c r="H267" t="n">
        <v>0</v>
      </c>
      <c r="I267" t="n">
        <v>0</v>
      </c>
      <c r="J267" t="n">
        <v>0</v>
      </c>
      <c r="K267" t="n">
        <v>0</v>
      </c>
      <c r="L267" t="n">
        <v>0</v>
      </c>
      <c r="M267" t="n">
        <v>0</v>
      </c>
      <c r="N267" t="n">
        <v>0</v>
      </c>
      <c r="O267" t="n">
        <v>0</v>
      </c>
      <c r="P267" t="n">
        <v>0</v>
      </c>
      <c r="Q267" t="n">
        <v>0</v>
      </c>
      <c r="R267" s="2" t="inlineStr"/>
    </row>
    <row r="268" ht="15" customHeight="1">
      <c r="A268" t="inlineStr">
        <is>
          <t>A 61273-2025</t>
        </is>
      </c>
      <c r="B268" s="1" t="n">
        <v>46000</v>
      </c>
      <c r="C268" s="1" t="n">
        <v>46202</v>
      </c>
      <c r="D268" t="inlineStr">
        <is>
          <t>JÖNKÖPINGS LÄN</t>
        </is>
      </c>
      <c r="E268" t="inlineStr">
        <is>
          <t>HABO</t>
        </is>
      </c>
      <c r="G268" t="n">
        <v>2.2</v>
      </c>
      <c r="H268" t="n">
        <v>0</v>
      </c>
      <c r="I268" t="n">
        <v>0</v>
      </c>
      <c r="J268" t="n">
        <v>0</v>
      </c>
      <c r="K268" t="n">
        <v>0</v>
      </c>
      <c r="L268" t="n">
        <v>0</v>
      </c>
      <c r="M268" t="n">
        <v>0</v>
      </c>
      <c r="N268" t="n">
        <v>0</v>
      </c>
      <c r="O268" t="n">
        <v>0</v>
      </c>
      <c r="P268" t="n">
        <v>0</v>
      </c>
      <c r="Q268" t="n">
        <v>0</v>
      </c>
      <c r="R268" s="2" t="inlineStr"/>
    </row>
    <row r="269" ht="15" customHeight="1">
      <c r="A269" t="inlineStr">
        <is>
          <t>A 2690-2026</t>
        </is>
      </c>
      <c r="B269" s="1" t="n">
        <v>46037</v>
      </c>
      <c r="C269" s="1" t="n">
        <v>46202</v>
      </c>
      <c r="D269" t="inlineStr">
        <is>
          <t>JÖNKÖPINGS LÄN</t>
        </is>
      </c>
      <c r="E269" t="inlineStr">
        <is>
          <t>HABO</t>
        </is>
      </c>
      <c r="G269" t="n">
        <v>0.3</v>
      </c>
      <c r="H269" t="n">
        <v>0</v>
      </c>
      <c r="I269" t="n">
        <v>0</v>
      </c>
      <c r="J269" t="n">
        <v>0</v>
      </c>
      <c r="K269" t="n">
        <v>0</v>
      </c>
      <c r="L269" t="n">
        <v>0</v>
      </c>
      <c r="M269" t="n">
        <v>0</v>
      </c>
      <c r="N269" t="n">
        <v>0</v>
      </c>
      <c r="O269" t="n">
        <v>0</v>
      </c>
      <c r="P269" t="n">
        <v>0</v>
      </c>
      <c r="Q269" t="n">
        <v>0</v>
      </c>
      <c r="R269" s="2" t="inlineStr"/>
    </row>
    <row r="270" ht="15" customHeight="1">
      <c r="A270" t="inlineStr">
        <is>
          <t>A 2693-2026</t>
        </is>
      </c>
      <c r="B270" s="1" t="n">
        <v>46037</v>
      </c>
      <c r="C270" s="1" t="n">
        <v>46202</v>
      </c>
      <c r="D270" t="inlineStr">
        <is>
          <t>JÖNKÖPINGS LÄN</t>
        </is>
      </c>
      <c r="E270" t="inlineStr">
        <is>
          <t>HABO</t>
        </is>
      </c>
      <c r="G270" t="n">
        <v>0.5</v>
      </c>
      <c r="H270" t="n">
        <v>0</v>
      </c>
      <c r="I270" t="n">
        <v>0</v>
      </c>
      <c r="J270" t="n">
        <v>0</v>
      </c>
      <c r="K270" t="n">
        <v>0</v>
      </c>
      <c r="L270" t="n">
        <v>0</v>
      </c>
      <c r="M270" t="n">
        <v>0</v>
      </c>
      <c r="N270" t="n">
        <v>0</v>
      </c>
      <c r="O270" t="n">
        <v>0</v>
      </c>
      <c r="P270" t="n">
        <v>0</v>
      </c>
      <c r="Q270" t="n">
        <v>0</v>
      </c>
      <c r="R270" s="2" t="inlineStr"/>
    </row>
    <row r="271" ht="15" customHeight="1">
      <c r="A271" t="inlineStr">
        <is>
          <t>A 2681-2026</t>
        </is>
      </c>
      <c r="B271" s="1" t="n">
        <v>46037</v>
      </c>
      <c r="C271" s="1" t="n">
        <v>46202</v>
      </c>
      <c r="D271" t="inlineStr">
        <is>
          <t>JÖNKÖPINGS LÄN</t>
        </is>
      </c>
      <c r="E271" t="inlineStr">
        <is>
          <t>HABO</t>
        </is>
      </c>
      <c r="G271" t="n">
        <v>0.6</v>
      </c>
      <c r="H271" t="n">
        <v>0</v>
      </c>
      <c r="I271" t="n">
        <v>0</v>
      </c>
      <c r="J271" t="n">
        <v>0</v>
      </c>
      <c r="K271" t="n">
        <v>0</v>
      </c>
      <c r="L271" t="n">
        <v>0</v>
      </c>
      <c r="M271" t="n">
        <v>0</v>
      </c>
      <c r="N271" t="n">
        <v>0</v>
      </c>
      <c r="O271" t="n">
        <v>0</v>
      </c>
      <c r="P271" t="n">
        <v>0</v>
      </c>
      <c r="Q271" t="n">
        <v>0</v>
      </c>
      <c r="R271" s="2" t="inlineStr"/>
    </row>
    <row r="272" ht="15" customHeight="1">
      <c r="A272" t="inlineStr">
        <is>
          <t>A 3282-2026</t>
        </is>
      </c>
      <c r="B272" s="1" t="n">
        <v>46041</v>
      </c>
      <c r="C272" s="1" t="n">
        <v>46202</v>
      </c>
      <c r="D272" t="inlineStr">
        <is>
          <t>JÖNKÖPINGS LÄN</t>
        </is>
      </c>
      <c r="E272" t="inlineStr">
        <is>
          <t>HABO</t>
        </is>
      </c>
      <c r="G272" t="n">
        <v>0.8</v>
      </c>
      <c r="H272" t="n">
        <v>0</v>
      </c>
      <c r="I272" t="n">
        <v>0</v>
      </c>
      <c r="J272" t="n">
        <v>0</v>
      </c>
      <c r="K272" t="n">
        <v>0</v>
      </c>
      <c r="L272" t="n">
        <v>0</v>
      </c>
      <c r="M272" t="n">
        <v>0</v>
      </c>
      <c r="N272" t="n">
        <v>0</v>
      </c>
      <c r="O272" t="n">
        <v>0</v>
      </c>
      <c r="P272" t="n">
        <v>0</v>
      </c>
      <c r="Q272" t="n">
        <v>0</v>
      </c>
      <c r="R272" s="2" t="inlineStr"/>
    </row>
    <row r="273" ht="15" customHeight="1">
      <c r="A273" t="inlineStr">
        <is>
          <t>A 3775-2026</t>
        </is>
      </c>
      <c r="B273" s="1" t="n">
        <v>46043</v>
      </c>
      <c r="C273" s="1" t="n">
        <v>46202</v>
      </c>
      <c r="D273" t="inlineStr">
        <is>
          <t>JÖNKÖPINGS LÄN</t>
        </is>
      </c>
      <c r="E273" t="inlineStr">
        <is>
          <t>HABO</t>
        </is>
      </c>
      <c r="G273" t="n">
        <v>2.2</v>
      </c>
      <c r="H273" t="n">
        <v>0</v>
      </c>
      <c r="I273" t="n">
        <v>0</v>
      </c>
      <c r="J273" t="n">
        <v>0</v>
      </c>
      <c r="K273" t="n">
        <v>0</v>
      </c>
      <c r="L273" t="n">
        <v>0</v>
      </c>
      <c r="M273" t="n">
        <v>0</v>
      </c>
      <c r="N273" t="n">
        <v>0</v>
      </c>
      <c r="O273" t="n">
        <v>0</v>
      </c>
      <c r="P273" t="n">
        <v>0</v>
      </c>
      <c r="Q273" t="n">
        <v>0</v>
      </c>
      <c r="R273" s="2" t="inlineStr"/>
    </row>
    <row r="274" ht="15" customHeight="1">
      <c r="A274" t="inlineStr">
        <is>
          <t>A 3792-2026</t>
        </is>
      </c>
      <c r="B274" s="1" t="n">
        <v>46043</v>
      </c>
      <c r="C274" s="1" t="n">
        <v>46202</v>
      </c>
      <c r="D274" t="inlineStr">
        <is>
          <t>JÖNKÖPINGS LÄN</t>
        </is>
      </c>
      <c r="E274" t="inlineStr">
        <is>
          <t>HABO</t>
        </is>
      </c>
      <c r="G274" t="n">
        <v>3.1</v>
      </c>
      <c r="H274" t="n">
        <v>0</v>
      </c>
      <c r="I274" t="n">
        <v>0</v>
      </c>
      <c r="J274" t="n">
        <v>0</v>
      </c>
      <c r="K274" t="n">
        <v>0</v>
      </c>
      <c r="L274" t="n">
        <v>0</v>
      </c>
      <c r="M274" t="n">
        <v>0</v>
      </c>
      <c r="N274" t="n">
        <v>0</v>
      </c>
      <c r="O274" t="n">
        <v>0</v>
      </c>
      <c r="P274" t="n">
        <v>0</v>
      </c>
      <c r="Q274" t="n">
        <v>0</v>
      </c>
      <c r="R274" s="2" t="inlineStr"/>
    </row>
    <row r="275" ht="15" customHeight="1">
      <c r="A275" t="inlineStr">
        <is>
          <t>A 3794-2026</t>
        </is>
      </c>
      <c r="B275" s="1" t="n">
        <v>46043</v>
      </c>
      <c r="C275" s="1" t="n">
        <v>46202</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3783-2026</t>
        </is>
      </c>
      <c r="B276" s="1" t="n">
        <v>46043</v>
      </c>
      <c r="C276" s="1" t="n">
        <v>46202</v>
      </c>
      <c r="D276" t="inlineStr">
        <is>
          <t>JÖNKÖPINGS LÄN</t>
        </is>
      </c>
      <c r="E276" t="inlineStr">
        <is>
          <t>HABO</t>
        </is>
      </c>
      <c r="G276" t="n">
        <v>4.1</v>
      </c>
      <c r="H276" t="n">
        <v>0</v>
      </c>
      <c r="I276" t="n">
        <v>0</v>
      </c>
      <c r="J276" t="n">
        <v>0</v>
      </c>
      <c r="K276" t="n">
        <v>0</v>
      </c>
      <c r="L276" t="n">
        <v>0</v>
      </c>
      <c r="M276" t="n">
        <v>0</v>
      </c>
      <c r="N276" t="n">
        <v>0</v>
      </c>
      <c r="O276" t="n">
        <v>0</v>
      </c>
      <c r="P276" t="n">
        <v>0</v>
      </c>
      <c r="Q276" t="n">
        <v>0</v>
      </c>
      <c r="R276" s="2" t="inlineStr"/>
    </row>
    <row r="277" ht="15" customHeight="1">
      <c r="A277" t="inlineStr">
        <is>
          <t>A 3787-2026</t>
        </is>
      </c>
      <c r="B277" s="1" t="n">
        <v>46043</v>
      </c>
      <c r="C277" s="1" t="n">
        <v>46202</v>
      </c>
      <c r="D277" t="inlineStr">
        <is>
          <t>JÖNKÖPINGS LÄN</t>
        </is>
      </c>
      <c r="E277" t="inlineStr">
        <is>
          <t>HABO</t>
        </is>
      </c>
      <c r="G277" t="n">
        <v>2</v>
      </c>
      <c r="H277" t="n">
        <v>0</v>
      </c>
      <c r="I277" t="n">
        <v>0</v>
      </c>
      <c r="J277" t="n">
        <v>0</v>
      </c>
      <c r="K277" t="n">
        <v>0</v>
      </c>
      <c r="L277" t="n">
        <v>0</v>
      </c>
      <c r="M277" t="n">
        <v>0</v>
      </c>
      <c r="N277" t="n">
        <v>0</v>
      </c>
      <c r="O277" t="n">
        <v>0</v>
      </c>
      <c r="P277" t="n">
        <v>0</v>
      </c>
      <c r="Q277" t="n">
        <v>0</v>
      </c>
      <c r="R277" s="2" t="inlineStr"/>
    </row>
    <row r="278" ht="15" customHeight="1">
      <c r="A278" t="inlineStr">
        <is>
          <t>A 3778-2026</t>
        </is>
      </c>
      <c r="B278" s="1" t="n">
        <v>46043</v>
      </c>
      <c r="C278" s="1" t="n">
        <v>46202</v>
      </c>
      <c r="D278" t="inlineStr">
        <is>
          <t>JÖNKÖPINGS LÄN</t>
        </is>
      </c>
      <c r="E278" t="inlineStr">
        <is>
          <t>HABO</t>
        </is>
      </c>
      <c r="G278" t="n">
        <v>0.6</v>
      </c>
      <c r="H278" t="n">
        <v>0</v>
      </c>
      <c r="I278" t="n">
        <v>0</v>
      </c>
      <c r="J278" t="n">
        <v>0</v>
      </c>
      <c r="K278" t="n">
        <v>0</v>
      </c>
      <c r="L278" t="n">
        <v>0</v>
      </c>
      <c r="M278" t="n">
        <v>0</v>
      </c>
      <c r="N278" t="n">
        <v>0</v>
      </c>
      <c r="O278" t="n">
        <v>0</v>
      </c>
      <c r="P278" t="n">
        <v>0</v>
      </c>
      <c r="Q278" t="n">
        <v>0</v>
      </c>
      <c r="R278" s="2" t="inlineStr"/>
    </row>
    <row r="279" ht="15" customHeight="1">
      <c r="A279" t="inlineStr">
        <is>
          <t>A 5961-2026</t>
        </is>
      </c>
      <c r="B279" s="1" t="n">
        <v>46052</v>
      </c>
      <c r="C279" s="1" t="n">
        <v>46202</v>
      </c>
      <c r="D279" t="inlineStr">
        <is>
          <t>JÖNKÖPINGS LÄN</t>
        </is>
      </c>
      <c r="E279" t="inlineStr">
        <is>
          <t>HABO</t>
        </is>
      </c>
      <c r="G279" t="n">
        <v>2</v>
      </c>
      <c r="H279" t="n">
        <v>0</v>
      </c>
      <c r="I279" t="n">
        <v>0</v>
      </c>
      <c r="J279" t="n">
        <v>0</v>
      </c>
      <c r="K279" t="n">
        <v>0</v>
      </c>
      <c r="L279" t="n">
        <v>0</v>
      </c>
      <c r="M279" t="n">
        <v>0</v>
      </c>
      <c r="N279" t="n">
        <v>0</v>
      </c>
      <c r="O279" t="n">
        <v>0</v>
      </c>
      <c r="P279" t="n">
        <v>0</v>
      </c>
      <c r="Q279" t="n">
        <v>0</v>
      </c>
      <c r="R279" s="2" t="inlineStr"/>
    </row>
    <row r="280" ht="15" customHeight="1">
      <c r="A280" t="inlineStr">
        <is>
          <t>A 7419-2026</t>
        </is>
      </c>
      <c r="B280" s="1" t="n">
        <v>46059</v>
      </c>
      <c r="C280" s="1" t="n">
        <v>46202</v>
      </c>
      <c r="D280" t="inlineStr">
        <is>
          <t>JÖNKÖPINGS LÄN</t>
        </is>
      </c>
      <c r="E280" t="inlineStr">
        <is>
          <t>HABO</t>
        </is>
      </c>
      <c r="G280" t="n">
        <v>0.4</v>
      </c>
      <c r="H280" t="n">
        <v>0</v>
      </c>
      <c r="I280" t="n">
        <v>0</v>
      </c>
      <c r="J280" t="n">
        <v>0</v>
      </c>
      <c r="K280" t="n">
        <v>0</v>
      </c>
      <c r="L280" t="n">
        <v>0</v>
      </c>
      <c r="M280" t="n">
        <v>0</v>
      </c>
      <c r="N280" t="n">
        <v>0</v>
      </c>
      <c r="O280" t="n">
        <v>0</v>
      </c>
      <c r="P280" t="n">
        <v>0</v>
      </c>
      <c r="Q280" t="n">
        <v>0</v>
      </c>
      <c r="R280" s="2" t="inlineStr"/>
    </row>
    <row r="281" ht="15" customHeight="1">
      <c r="A281" t="inlineStr">
        <is>
          <t>A 9016-2026</t>
        </is>
      </c>
      <c r="B281" s="1" t="n">
        <v>46069</v>
      </c>
      <c r="C281" s="1" t="n">
        <v>46202</v>
      </c>
      <c r="D281" t="inlineStr">
        <is>
          <t>JÖNKÖPINGS LÄN</t>
        </is>
      </c>
      <c r="E281" t="inlineStr">
        <is>
          <t>HABO</t>
        </is>
      </c>
      <c r="G281" t="n">
        <v>6</v>
      </c>
      <c r="H281" t="n">
        <v>0</v>
      </c>
      <c r="I281" t="n">
        <v>0</v>
      </c>
      <c r="J281" t="n">
        <v>0</v>
      </c>
      <c r="K281" t="n">
        <v>0</v>
      </c>
      <c r="L281" t="n">
        <v>0</v>
      </c>
      <c r="M281" t="n">
        <v>0</v>
      </c>
      <c r="N281" t="n">
        <v>0</v>
      </c>
      <c r="O281" t="n">
        <v>0</v>
      </c>
      <c r="P281" t="n">
        <v>0</v>
      </c>
      <c r="Q281" t="n">
        <v>0</v>
      </c>
      <c r="R281" s="2" t="inlineStr"/>
    </row>
    <row r="282" ht="15" customHeight="1">
      <c r="A282" t="inlineStr">
        <is>
          <t>A 24606-2026</t>
        </is>
      </c>
      <c r="B282" s="1" t="n">
        <v>46171</v>
      </c>
      <c r="C282" s="1" t="n">
        <v>46202</v>
      </c>
      <c r="D282" t="inlineStr">
        <is>
          <t>JÖNKÖPINGS LÄN</t>
        </is>
      </c>
      <c r="E282" t="inlineStr">
        <is>
          <t>HABO</t>
        </is>
      </c>
      <c r="G282" t="n">
        <v>0.7</v>
      </c>
      <c r="H282" t="n">
        <v>0</v>
      </c>
      <c r="I282" t="n">
        <v>0</v>
      </c>
      <c r="J282" t="n">
        <v>0</v>
      </c>
      <c r="K282" t="n">
        <v>0</v>
      </c>
      <c r="L282" t="n">
        <v>0</v>
      </c>
      <c r="M282" t="n">
        <v>0</v>
      </c>
      <c r="N282" t="n">
        <v>0</v>
      </c>
      <c r="O282" t="n">
        <v>0</v>
      </c>
      <c r="P282" t="n">
        <v>0</v>
      </c>
      <c r="Q282" t="n">
        <v>0</v>
      </c>
      <c r="R282" s="2" t="inlineStr"/>
    </row>
    <row r="283" ht="15" customHeight="1">
      <c r="A283" t="inlineStr">
        <is>
          <t>A 19735-2026</t>
        </is>
      </c>
      <c r="B283" s="1" t="n">
        <v>46135</v>
      </c>
      <c r="C283" s="1" t="n">
        <v>46202</v>
      </c>
      <c r="D283" t="inlineStr">
        <is>
          <t>JÖNKÖPINGS LÄN</t>
        </is>
      </c>
      <c r="E283" t="inlineStr">
        <is>
          <t>HABO</t>
        </is>
      </c>
      <c r="G283" t="n">
        <v>0.3</v>
      </c>
      <c r="H283" t="n">
        <v>0</v>
      </c>
      <c r="I283" t="n">
        <v>0</v>
      </c>
      <c r="J283" t="n">
        <v>0</v>
      </c>
      <c r="K283" t="n">
        <v>0</v>
      </c>
      <c r="L283" t="n">
        <v>0</v>
      </c>
      <c r="M283" t="n">
        <v>0</v>
      </c>
      <c r="N283" t="n">
        <v>0</v>
      </c>
      <c r="O283" t="n">
        <v>0</v>
      </c>
      <c r="P283" t="n">
        <v>0</v>
      </c>
      <c r="Q283" t="n">
        <v>0</v>
      </c>
      <c r="R283" s="2" t="inlineStr"/>
    </row>
    <row r="284" ht="15" customHeight="1">
      <c r="A284" t="inlineStr">
        <is>
          <t>A 6226-2025</t>
        </is>
      </c>
      <c r="B284" s="1" t="n">
        <v>45698</v>
      </c>
      <c r="C284" s="1" t="n">
        <v>46202</v>
      </c>
      <c r="D284" t="inlineStr">
        <is>
          <t>JÖNKÖPINGS LÄN</t>
        </is>
      </c>
      <c r="E284" t="inlineStr">
        <is>
          <t>HABO</t>
        </is>
      </c>
      <c r="G284" t="n">
        <v>6</v>
      </c>
      <c r="H284" t="n">
        <v>0</v>
      </c>
      <c r="I284" t="n">
        <v>0</v>
      </c>
      <c r="J284" t="n">
        <v>0</v>
      </c>
      <c r="K284" t="n">
        <v>0</v>
      </c>
      <c r="L284" t="n">
        <v>0</v>
      </c>
      <c r="M284" t="n">
        <v>0</v>
      </c>
      <c r="N284" t="n">
        <v>0</v>
      </c>
      <c r="O284" t="n">
        <v>0</v>
      </c>
      <c r="P284" t="n">
        <v>0</v>
      </c>
      <c r="Q284" t="n">
        <v>0</v>
      </c>
      <c r="R284" s="2" t="inlineStr"/>
    </row>
    <row r="285" ht="15" customHeight="1">
      <c r="A285" t="inlineStr">
        <is>
          <t>A 28780-2025</t>
        </is>
      </c>
      <c r="B285" s="1" t="n">
        <v>45820</v>
      </c>
      <c r="C285" s="1" t="n">
        <v>46202</v>
      </c>
      <c r="D285" t="inlineStr">
        <is>
          <t>JÖNKÖPINGS LÄN</t>
        </is>
      </c>
      <c r="E285" t="inlineStr">
        <is>
          <t>HABO</t>
        </is>
      </c>
      <c r="G285" t="n">
        <v>2.3</v>
      </c>
      <c r="H285" t="n">
        <v>0</v>
      </c>
      <c r="I285" t="n">
        <v>0</v>
      </c>
      <c r="J285" t="n">
        <v>0</v>
      </c>
      <c r="K285" t="n">
        <v>0</v>
      </c>
      <c r="L285" t="n">
        <v>0</v>
      </c>
      <c r="M285" t="n">
        <v>0</v>
      </c>
      <c r="N285" t="n">
        <v>0</v>
      </c>
      <c r="O285" t="n">
        <v>0</v>
      </c>
      <c r="P285" t="n">
        <v>0</v>
      </c>
      <c r="Q285" t="n">
        <v>0</v>
      </c>
      <c r="R285" s="2" t="inlineStr"/>
    </row>
    <row r="286" ht="15" customHeight="1">
      <c r="A286" t="inlineStr">
        <is>
          <t>A 57422-2023</t>
        </is>
      </c>
      <c r="B286" s="1" t="n">
        <v>45246</v>
      </c>
      <c r="C286" s="1" t="n">
        <v>46202</v>
      </c>
      <c r="D286" t="inlineStr">
        <is>
          <t>JÖNKÖPINGS LÄN</t>
        </is>
      </c>
      <c r="E286" t="inlineStr">
        <is>
          <t>HABO</t>
        </is>
      </c>
      <c r="G286" t="n">
        <v>0.9</v>
      </c>
      <c r="H286" t="n">
        <v>0</v>
      </c>
      <c r="I286" t="n">
        <v>0</v>
      </c>
      <c r="J286" t="n">
        <v>0</v>
      </c>
      <c r="K286" t="n">
        <v>0</v>
      </c>
      <c r="L286" t="n">
        <v>0</v>
      </c>
      <c r="M286" t="n">
        <v>0</v>
      </c>
      <c r="N286" t="n">
        <v>0</v>
      </c>
      <c r="O286" t="n">
        <v>0</v>
      </c>
      <c r="P286" t="n">
        <v>0</v>
      </c>
      <c r="Q286" t="n">
        <v>0</v>
      </c>
      <c r="R286" s="2" t="inlineStr"/>
    </row>
    <row r="287" ht="15" customHeight="1">
      <c r="A287" t="inlineStr">
        <is>
          <t>A 27838-2026</t>
        </is>
      </c>
      <c r="B287" s="1" t="n">
        <v>46191</v>
      </c>
      <c r="C287" s="1" t="n">
        <v>46202</v>
      </c>
      <c r="D287" t="inlineStr">
        <is>
          <t>JÖNKÖPINGS LÄN</t>
        </is>
      </c>
      <c r="E287" t="inlineStr">
        <is>
          <t>HABO</t>
        </is>
      </c>
      <c r="G287" t="n">
        <v>1.8</v>
      </c>
      <c r="H287" t="n">
        <v>0</v>
      </c>
      <c r="I287" t="n">
        <v>0</v>
      </c>
      <c r="J287" t="n">
        <v>0</v>
      </c>
      <c r="K287" t="n">
        <v>0</v>
      </c>
      <c r="L287" t="n">
        <v>0</v>
      </c>
      <c r="M287" t="n">
        <v>0</v>
      </c>
      <c r="N287" t="n">
        <v>0</v>
      </c>
      <c r="O287" t="n">
        <v>0</v>
      </c>
      <c r="P287" t="n">
        <v>0</v>
      </c>
      <c r="Q287" t="n">
        <v>0</v>
      </c>
      <c r="R287" s="2" t="inlineStr"/>
    </row>
    <row r="288" ht="15" customHeight="1">
      <c r="A288" t="inlineStr">
        <is>
          <t>A 27841-2026</t>
        </is>
      </c>
      <c r="B288" s="1" t="n">
        <v>46191</v>
      </c>
      <c r="C288" s="1" t="n">
        <v>46202</v>
      </c>
      <c r="D288" t="inlineStr">
        <is>
          <t>JÖNKÖPINGS LÄN</t>
        </is>
      </c>
      <c r="E288" t="inlineStr">
        <is>
          <t>HABO</t>
        </is>
      </c>
      <c r="G288" t="n">
        <v>2.7</v>
      </c>
      <c r="H288" t="n">
        <v>0</v>
      </c>
      <c r="I288" t="n">
        <v>0</v>
      </c>
      <c r="J288" t="n">
        <v>0</v>
      </c>
      <c r="K288" t="n">
        <v>0</v>
      </c>
      <c r="L288" t="n">
        <v>0</v>
      </c>
      <c r="M288" t="n">
        <v>0</v>
      </c>
      <c r="N288" t="n">
        <v>0</v>
      </c>
      <c r="O288" t="n">
        <v>0</v>
      </c>
      <c r="P288" t="n">
        <v>0</v>
      </c>
      <c r="Q288" t="n">
        <v>0</v>
      </c>
      <c r="R288" s="2" t="inlineStr"/>
    </row>
    <row r="289" ht="15" customHeight="1">
      <c r="A289" t="inlineStr">
        <is>
          <t>A 27858-2026</t>
        </is>
      </c>
      <c r="B289" s="1" t="n">
        <v>46191</v>
      </c>
      <c r="C289" s="1" t="n">
        <v>46202</v>
      </c>
      <c r="D289" t="inlineStr">
        <is>
          <t>JÖNKÖPINGS LÄN</t>
        </is>
      </c>
      <c r="E289" t="inlineStr">
        <is>
          <t>HABO</t>
        </is>
      </c>
      <c r="G289" t="n">
        <v>1.2</v>
      </c>
      <c r="H289" t="n">
        <v>0</v>
      </c>
      <c r="I289" t="n">
        <v>0</v>
      </c>
      <c r="J289" t="n">
        <v>0</v>
      </c>
      <c r="K289" t="n">
        <v>0</v>
      </c>
      <c r="L289" t="n">
        <v>0</v>
      </c>
      <c r="M289" t="n">
        <v>0</v>
      </c>
      <c r="N289" t="n">
        <v>0</v>
      </c>
      <c r="O289" t="n">
        <v>0</v>
      </c>
      <c r="P289" t="n">
        <v>0</v>
      </c>
      <c r="Q289" t="n">
        <v>0</v>
      </c>
      <c r="R289" s="2" t="inlineStr"/>
    </row>
    <row r="290" ht="15" customHeight="1">
      <c r="A290" t="inlineStr">
        <is>
          <t>A 27852-2026</t>
        </is>
      </c>
      <c r="B290" s="1" t="n">
        <v>46191</v>
      </c>
      <c r="C290" s="1" t="n">
        <v>46202</v>
      </c>
      <c r="D290" t="inlineStr">
        <is>
          <t>JÖNKÖPINGS LÄN</t>
        </is>
      </c>
      <c r="E290" t="inlineStr">
        <is>
          <t>HABO</t>
        </is>
      </c>
      <c r="G290" t="n">
        <v>2.2</v>
      </c>
      <c r="H290" t="n">
        <v>0</v>
      </c>
      <c r="I290" t="n">
        <v>0</v>
      </c>
      <c r="J290" t="n">
        <v>0</v>
      </c>
      <c r="K290" t="n">
        <v>0</v>
      </c>
      <c r="L290" t="n">
        <v>0</v>
      </c>
      <c r="M290" t="n">
        <v>0</v>
      </c>
      <c r="N290" t="n">
        <v>0</v>
      </c>
      <c r="O290" t="n">
        <v>0</v>
      </c>
      <c r="P290" t="n">
        <v>0</v>
      </c>
      <c r="Q290" t="n">
        <v>0</v>
      </c>
      <c r="R290" s="2" t="inlineStr"/>
    </row>
    <row r="291" ht="15" customHeight="1">
      <c r="A291" t="inlineStr">
        <is>
          <t>A 60583-2025</t>
        </is>
      </c>
      <c r="B291" s="1" t="n">
        <v>45996</v>
      </c>
      <c r="C291" s="1" t="n">
        <v>46202</v>
      </c>
      <c r="D291" t="inlineStr">
        <is>
          <t>JÖNKÖPINGS LÄN</t>
        </is>
      </c>
      <c r="E291" t="inlineStr">
        <is>
          <t>HABO</t>
        </is>
      </c>
      <c r="G291" t="n">
        <v>4.7</v>
      </c>
      <c r="H291" t="n">
        <v>0</v>
      </c>
      <c r="I291" t="n">
        <v>0</v>
      </c>
      <c r="J291" t="n">
        <v>0</v>
      </c>
      <c r="K291" t="n">
        <v>0</v>
      </c>
      <c r="L291" t="n">
        <v>0</v>
      </c>
      <c r="M291" t="n">
        <v>0</v>
      </c>
      <c r="N291" t="n">
        <v>0</v>
      </c>
      <c r="O291" t="n">
        <v>0</v>
      </c>
      <c r="P291" t="n">
        <v>0</v>
      </c>
      <c r="Q291" t="n">
        <v>0</v>
      </c>
      <c r="R291" s="2" t="inlineStr"/>
    </row>
    <row r="292" ht="15" customHeight="1">
      <c r="A292" t="inlineStr">
        <is>
          <t>A 46551-2025</t>
        </is>
      </c>
      <c r="B292" s="1" t="n">
        <v>45926</v>
      </c>
      <c r="C292" s="1" t="n">
        <v>46202</v>
      </c>
      <c r="D292" t="inlineStr">
        <is>
          <t>JÖNKÖPINGS LÄN</t>
        </is>
      </c>
      <c r="E292" t="inlineStr">
        <is>
          <t>HABO</t>
        </is>
      </c>
      <c r="G292" t="n">
        <v>2.2</v>
      </c>
      <c r="H292" t="n">
        <v>0</v>
      </c>
      <c r="I292" t="n">
        <v>0</v>
      </c>
      <c r="J292" t="n">
        <v>0</v>
      </c>
      <c r="K292" t="n">
        <v>0</v>
      </c>
      <c r="L292" t="n">
        <v>0</v>
      </c>
      <c r="M292" t="n">
        <v>0</v>
      </c>
      <c r="N292" t="n">
        <v>0</v>
      </c>
      <c r="O292" t="n">
        <v>0</v>
      </c>
      <c r="P292" t="n">
        <v>0</v>
      </c>
      <c r="Q292" t="n">
        <v>0</v>
      </c>
      <c r="R292" s="2" t="inlineStr"/>
    </row>
    <row r="293">
      <c r="A293" t="inlineStr">
        <is>
          <t>A 25353-2026</t>
        </is>
      </c>
      <c r="B293" s="1" t="n">
        <v>46176</v>
      </c>
      <c r="C293" s="1" t="n">
        <v>46202</v>
      </c>
      <c r="D293" t="inlineStr">
        <is>
          <t>JÖNKÖPINGS LÄN</t>
        </is>
      </c>
      <c r="E293" t="inlineStr">
        <is>
          <t>HABO</t>
        </is>
      </c>
      <c r="G293" t="n">
        <v>2.5</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2026-06-29T00:56:41Z</dcterms:created>
  <dcterms:modified xmlns:dcterms="http://purl.org/dc/terms/" xmlns:xsi="http://www.w3.org/2001/XMLSchema-instance" xsi:type="dcterms:W3CDTF">2026-06-29T00:56:41Z</dcterms:modified>
</cp:coreProperties>
</file>