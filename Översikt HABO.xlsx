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45354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45354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45354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45354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45354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45354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45354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45354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44444-2023</t>
        </is>
      </c>
      <c r="B10" s="1" t="n">
        <v>45183</v>
      </c>
      <c r="C10" s="1" t="n">
        <v>45354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9.5</v>
      </c>
      <c r="H10" t="n">
        <v>1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Mellanlummer
Torrmusseron
Motaggsvamp
Svartvit taggsvamp</t>
        </is>
      </c>
      <c r="S10">
        <f>HYPERLINK("https://klasma.github.io/Logging_0643/artfynd/A 44444-2023 artfynd.xlsx", "A 44444-2023")</f>
        <v/>
      </c>
      <c r="T10">
        <f>HYPERLINK("https://klasma.github.io/Logging_0643/kartor/A 44444-2023 karta.png", "A 44444-2023")</f>
        <v/>
      </c>
      <c r="V10">
        <f>HYPERLINK("https://klasma.github.io/Logging_0643/klagomål/A 44444-2023 FSC-klagomål.docx", "A 44444-2023")</f>
        <v/>
      </c>
      <c r="W10">
        <f>HYPERLINK("https://klasma.github.io/Logging_0643/klagomålsmail/A 44444-2023 FSC-klagomål mail.docx", "A 44444-2023")</f>
        <v/>
      </c>
      <c r="X10">
        <f>HYPERLINK("https://klasma.github.io/Logging_0643/tillsyn/A 44444-2023 tillsynsbegäran.docx", "A 44444-2023")</f>
        <v/>
      </c>
      <c r="Y10">
        <f>HYPERLINK("https://klasma.github.io/Logging_0643/tillsynsmail/A 44444-2023 tillsynsbegäran mail.docx", "A 44444-2023")</f>
        <v/>
      </c>
    </row>
    <row r="11" ht="15" customHeight="1">
      <c r="A11" t="inlineStr">
        <is>
          <t>A 28832-2022</t>
        </is>
      </c>
      <c r="B11" s="1" t="n">
        <v>44749</v>
      </c>
      <c r="C11" s="1" t="n">
        <v>45354</v>
      </c>
      <c r="D11" t="inlineStr">
        <is>
          <t>JÖNKÖPINGS LÄN</t>
        </is>
      </c>
      <c r="E11" t="inlineStr">
        <is>
          <t>HABO</t>
        </is>
      </c>
      <c r="G11" t="n">
        <v>8.199999999999999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Skrovlig taggsvamp
Dropptaggsvamp</t>
        </is>
      </c>
      <c r="S11">
        <f>HYPERLINK("https://klasma.github.io/Logging_0643/artfynd/A 28832-2022 artfynd.xlsx", "A 28832-2022")</f>
        <v/>
      </c>
      <c r="T11">
        <f>HYPERLINK("https://klasma.github.io/Logging_0643/kartor/A 28832-2022 karta.png", "A 28832-2022")</f>
        <v/>
      </c>
      <c r="V11">
        <f>HYPERLINK("https://klasma.github.io/Logging_0643/klagomål/A 28832-2022 FSC-klagomål.docx", "A 28832-2022")</f>
        <v/>
      </c>
      <c r="W11">
        <f>HYPERLINK("https://klasma.github.io/Logging_0643/klagomålsmail/A 28832-2022 FSC-klagomål mail.docx", "A 28832-2022")</f>
        <v/>
      </c>
      <c r="X11">
        <f>HYPERLINK("https://klasma.github.io/Logging_0643/tillsyn/A 28832-2022 tillsynsbegäran.docx", "A 28832-2022")</f>
        <v/>
      </c>
      <c r="Y11">
        <f>HYPERLINK("https://klasma.github.io/Logging_0643/tillsynsmail/A 28832-2022 tillsynsbegäran mail.docx", "A 28832-2022")</f>
        <v/>
      </c>
    </row>
    <row r="12" ht="15" customHeight="1">
      <c r="A12" t="inlineStr">
        <is>
          <t>A 28842-2022</t>
        </is>
      </c>
      <c r="B12" s="1" t="n">
        <v>44749</v>
      </c>
      <c r="C12" s="1" t="n">
        <v>45354</v>
      </c>
      <c r="D12" t="inlineStr">
        <is>
          <t>JÖNKÖPINGS LÄN</t>
        </is>
      </c>
      <c r="E12" t="inlineStr">
        <is>
          <t>HABO</t>
        </is>
      </c>
      <c r="G12" t="n">
        <v>3.7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Skrovlig taggsvamp
Blomkålssvamp</t>
        </is>
      </c>
      <c r="S12">
        <f>HYPERLINK("https://klasma.github.io/Logging_0643/artfynd/A 28842-2022 artfynd.xlsx", "A 28842-2022")</f>
        <v/>
      </c>
      <c r="T12">
        <f>HYPERLINK("https://klasma.github.io/Logging_0643/kartor/A 28842-2022 karta.png", "A 28842-2022")</f>
        <v/>
      </c>
      <c r="V12">
        <f>HYPERLINK("https://klasma.github.io/Logging_0643/klagomål/A 28842-2022 FSC-klagomål.docx", "A 28842-2022")</f>
        <v/>
      </c>
      <c r="W12">
        <f>HYPERLINK("https://klasma.github.io/Logging_0643/klagomålsmail/A 28842-2022 FSC-klagomål mail.docx", "A 28842-2022")</f>
        <v/>
      </c>
      <c r="X12">
        <f>HYPERLINK("https://klasma.github.io/Logging_0643/tillsyn/A 28842-2022 tillsynsbegäran.docx", "A 28842-2022")</f>
        <v/>
      </c>
      <c r="Y12">
        <f>HYPERLINK("https://klasma.github.io/Logging_0643/tillsynsmail/A 28842-2022 tillsynsbegäran mail.docx", "A 28842-2022")</f>
        <v/>
      </c>
    </row>
    <row r="13" ht="15" customHeight="1">
      <c r="A13" t="inlineStr">
        <is>
          <t>A 28847-2022</t>
        </is>
      </c>
      <c r="B13" s="1" t="n">
        <v>44749</v>
      </c>
      <c r="C13" s="1" t="n">
        <v>45354</v>
      </c>
      <c r="D13" t="inlineStr">
        <is>
          <t>JÖNKÖPINGS LÄN</t>
        </is>
      </c>
      <c r="E13" t="inlineStr">
        <is>
          <t>HABO</t>
        </is>
      </c>
      <c r="G13" t="n">
        <v>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Zontaggsvamp</t>
        </is>
      </c>
      <c r="S13">
        <f>HYPERLINK("https://klasma.github.io/Logging_0643/artfynd/A 28847-2022 artfynd.xlsx", "A 28847-2022")</f>
        <v/>
      </c>
      <c r="T13">
        <f>HYPERLINK("https://klasma.github.io/Logging_0643/kartor/A 28847-2022 karta.png", "A 28847-2022")</f>
        <v/>
      </c>
      <c r="V13">
        <f>HYPERLINK("https://klasma.github.io/Logging_0643/klagomål/A 28847-2022 FSC-klagomål.docx", "A 28847-2022")</f>
        <v/>
      </c>
      <c r="W13">
        <f>HYPERLINK("https://klasma.github.io/Logging_0643/klagomålsmail/A 28847-2022 FSC-klagomål mail.docx", "A 28847-2022")</f>
        <v/>
      </c>
      <c r="X13">
        <f>HYPERLINK("https://klasma.github.io/Logging_0643/tillsyn/A 28847-2022 tillsynsbegäran.docx", "A 28847-2022")</f>
        <v/>
      </c>
      <c r="Y13">
        <f>HYPERLINK("https://klasma.github.io/Logging_0643/tillsynsmail/A 28847-2022 tillsynsbegäran mail.docx", "A 28847-2022")</f>
        <v/>
      </c>
    </row>
    <row r="14" ht="15" customHeight="1">
      <c r="A14" t="inlineStr">
        <is>
          <t>A 29448-2023</t>
        </is>
      </c>
      <c r="B14" s="1" t="n">
        <v>45106</v>
      </c>
      <c r="C14" s="1" t="n">
        <v>45354</v>
      </c>
      <c r="D14" t="inlineStr">
        <is>
          <t>JÖNKÖPINGS LÄN</t>
        </is>
      </c>
      <c r="E14" t="inlineStr">
        <is>
          <t>HABO</t>
        </is>
      </c>
      <c r="G14" t="n">
        <v>4.6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Guldlockmossa</t>
        </is>
      </c>
      <c r="S14">
        <f>HYPERLINK("https://klasma.github.io/Logging_0643/artfynd/A 29448-2023 artfynd.xlsx", "A 29448-2023")</f>
        <v/>
      </c>
      <c r="T14">
        <f>HYPERLINK("https://klasma.github.io/Logging_0643/kartor/A 29448-2023 karta.png", "A 29448-2023")</f>
        <v/>
      </c>
      <c r="V14">
        <f>HYPERLINK("https://klasma.github.io/Logging_0643/klagomål/A 29448-2023 FSC-klagomål.docx", "A 29448-2023")</f>
        <v/>
      </c>
      <c r="W14">
        <f>HYPERLINK("https://klasma.github.io/Logging_0643/klagomålsmail/A 29448-2023 FSC-klagomål mail.docx", "A 29448-2023")</f>
        <v/>
      </c>
      <c r="X14">
        <f>HYPERLINK("https://klasma.github.io/Logging_0643/tillsyn/A 29448-2023 tillsynsbegäran.docx", "A 29448-2023")</f>
        <v/>
      </c>
      <c r="Y14">
        <f>HYPERLINK("https://klasma.github.io/Logging_0643/tillsynsmail/A 29448-2023 tillsynsbegäran mail.docx", "A 29448-2023")</f>
        <v/>
      </c>
    </row>
    <row r="15" ht="15" customHeight="1">
      <c r="A15" t="inlineStr">
        <is>
          <t>A 53298-2022</t>
        </is>
      </c>
      <c r="B15" s="1" t="n">
        <v>44877</v>
      </c>
      <c r="C15" s="1" t="n">
        <v>45354</v>
      </c>
      <c r="D15" t="inlineStr">
        <is>
          <t>JÖNKÖPINGS LÄN</t>
        </is>
      </c>
      <c r="E15" t="inlineStr">
        <is>
          <t>HABO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HYPERLINK("https://klasma.github.io/Logging_0643/artfynd/A 53298-2022 artfynd.xlsx", "A 53298-2022")</f>
        <v/>
      </c>
      <c r="T15">
        <f>HYPERLINK("https://klasma.github.io/Logging_0643/kartor/A 53298-2022 karta.png", "A 53298-2022")</f>
        <v/>
      </c>
      <c r="V15">
        <f>HYPERLINK("https://klasma.github.io/Logging_0643/klagomål/A 53298-2022 FSC-klagomål.docx", "A 53298-2022")</f>
        <v/>
      </c>
      <c r="W15">
        <f>HYPERLINK("https://klasma.github.io/Logging_0643/klagomålsmail/A 53298-2022 FSC-klagomål mail.docx", "A 53298-2022")</f>
        <v/>
      </c>
      <c r="X15">
        <f>HYPERLINK("https://klasma.github.io/Logging_0643/tillsyn/A 53298-2022 tillsynsbegäran.docx", "A 53298-2022")</f>
        <v/>
      </c>
      <c r="Y15">
        <f>HYPERLINK("https://klasma.github.io/Logging_0643/tillsynsmail/A 53298-2022 tillsynsbegäran mail.docx", "A 53298-2022")</f>
        <v/>
      </c>
    </row>
    <row r="16" ht="15" customHeight="1">
      <c r="A16" t="inlineStr">
        <is>
          <t>A 52417-2023</t>
        </is>
      </c>
      <c r="B16" s="1" t="n">
        <v>45225</v>
      </c>
      <c r="C16" s="1" t="n">
        <v>45354</v>
      </c>
      <c r="D16" t="inlineStr">
        <is>
          <t>JÖNKÖPINGS LÄN</t>
        </is>
      </c>
      <c r="E16" t="inlineStr">
        <is>
          <t>HABO</t>
        </is>
      </c>
      <c r="G16" t="n">
        <v>9.800000000000001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HYPERLINK("https://klasma.github.io/Logging_0643/artfynd/A 52417-2023 artfynd.xlsx", "A 52417-2023")</f>
        <v/>
      </c>
      <c r="T16">
        <f>HYPERLINK("https://klasma.github.io/Logging_0643/kartor/A 52417-2023 karta.png", "A 52417-2023")</f>
        <v/>
      </c>
      <c r="V16">
        <f>HYPERLINK("https://klasma.github.io/Logging_0643/klagomål/A 52417-2023 FSC-klagomål.docx", "A 52417-2023")</f>
        <v/>
      </c>
      <c r="W16">
        <f>HYPERLINK("https://klasma.github.io/Logging_0643/klagomålsmail/A 52417-2023 FSC-klagomål mail.docx", "A 52417-2023")</f>
        <v/>
      </c>
      <c r="X16">
        <f>HYPERLINK("https://klasma.github.io/Logging_0643/tillsyn/A 52417-2023 tillsynsbegäran.docx", "A 52417-2023")</f>
        <v/>
      </c>
      <c r="Y16">
        <f>HYPERLINK("https://klasma.github.io/Logging_0643/tillsynsmail/A 52417-2023 tillsynsbegäran mail.docx", "A 52417-2023")</f>
        <v/>
      </c>
    </row>
    <row r="17" ht="15" customHeight="1">
      <c r="A17" t="inlineStr">
        <is>
          <t>A 45307-2018</t>
        </is>
      </c>
      <c r="B17" s="1" t="n">
        <v>43360</v>
      </c>
      <c r="C17" s="1" t="n">
        <v>45354</v>
      </c>
      <c r="D17" t="inlineStr">
        <is>
          <t>JÖNKÖPINGS LÄN</t>
        </is>
      </c>
      <c r="E17" t="inlineStr">
        <is>
          <t>HABO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HYPERLINK("https://klasma.github.io/Logging_0643/knärot/A 45307-2018 karta knärot.png", "A 45307-2018")</f>
        <v/>
      </c>
      <c r="V17">
        <f>HYPERLINK("https://klasma.github.io/Logging_0643/klagomål/A 45307-2018 FSC-klagomål.docx", "A 45307-2018")</f>
        <v/>
      </c>
      <c r="W17">
        <f>HYPERLINK("https://klasma.github.io/Logging_0643/klagomålsmail/A 45307-2018 FSC-klagomål mail.docx", "A 45307-2018")</f>
        <v/>
      </c>
      <c r="X17">
        <f>HYPERLINK("https://klasma.github.io/Logging_0643/tillsyn/A 45307-2018 tillsynsbegäran.docx", "A 45307-2018")</f>
        <v/>
      </c>
      <c r="Y17">
        <f>HYPERLINK("https://klasma.github.io/Logging_0643/tillsynsmail/A 45307-2018 tillsynsbegäran mail.docx", "A 45307-2018")</f>
        <v/>
      </c>
    </row>
    <row r="18" ht="15" customHeight="1">
      <c r="A18" t="inlineStr">
        <is>
          <t>A 54646-2018</t>
        </is>
      </c>
      <c r="B18" s="1" t="n">
        <v>43395</v>
      </c>
      <c r="C18" s="1" t="n">
        <v>45354</v>
      </c>
      <c r="D18" t="inlineStr">
        <is>
          <t>JÖNKÖPINGS LÄN</t>
        </is>
      </c>
      <c r="E18" t="inlineStr">
        <is>
          <t>HABO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54820-2018</t>
        </is>
      </c>
      <c r="B19" s="1" t="n">
        <v>43396</v>
      </c>
      <c r="C19" s="1" t="n">
        <v>45354</v>
      </c>
      <c r="D19" t="inlineStr">
        <is>
          <t>JÖNKÖPINGS LÄN</t>
        </is>
      </c>
      <c r="E19" t="inlineStr">
        <is>
          <t>HABO</t>
        </is>
      </c>
      <c r="F19" t="inlineStr">
        <is>
          <t>Sveaskog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61584-2018</t>
        </is>
      </c>
      <c r="B20" s="1" t="n">
        <v>43413</v>
      </c>
      <c r="C20" s="1" t="n">
        <v>45354</v>
      </c>
      <c r="D20" t="inlineStr">
        <is>
          <t>JÖNKÖPINGS LÄN</t>
        </is>
      </c>
      <c r="E20" t="inlineStr">
        <is>
          <t>HABO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69362-2018</t>
        </is>
      </c>
      <c r="B21" s="1" t="n">
        <v>43446</v>
      </c>
      <c r="C21" s="1" t="n">
        <v>45354</v>
      </c>
      <c r="D21" t="inlineStr">
        <is>
          <t>JÖNKÖPINGS LÄN</t>
        </is>
      </c>
      <c r="E21" t="inlineStr">
        <is>
          <t>HABO</t>
        </is>
      </c>
      <c r="G21" t="n">
        <v>9.199999999999999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71084-2018</t>
        </is>
      </c>
      <c r="B22" s="1" t="n">
        <v>43452</v>
      </c>
      <c r="C22" s="1" t="n">
        <v>45354</v>
      </c>
      <c r="D22" t="inlineStr">
        <is>
          <t>JÖNKÖPINGS LÄN</t>
        </is>
      </c>
      <c r="E22" t="inlineStr">
        <is>
          <t>HABO</t>
        </is>
      </c>
      <c r="G22" t="n">
        <v>7.7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1716-2019</t>
        </is>
      </c>
      <c r="B23" s="1" t="n">
        <v>43474</v>
      </c>
      <c r="C23" s="1" t="n">
        <v>45354</v>
      </c>
      <c r="D23" t="inlineStr">
        <is>
          <t>JÖNKÖPINGS LÄN</t>
        </is>
      </c>
      <c r="E23" t="inlineStr">
        <is>
          <t>HABO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2995-2019</t>
        </is>
      </c>
      <c r="B24" s="1" t="n">
        <v>43479</v>
      </c>
      <c r="C24" s="1" t="n">
        <v>45354</v>
      </c>
      <c r="D24" t="inlineStr">
        <is>
          <t>JÖNKÖPINGS LÄN</t>
        </is>
      </c>
      <c r="E24" t="inlineStr">
        <is>
          <t>HABO</t>
        </is>
      </c>
      <c r="G24" t="n">
        <v>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2999-2019</t>
        </is>
      </c>
      <c r="B25" s="1" t="n">
        <v>43479</v>
      </c>
      <c r="C25" s="1" t="n">
        <v>45354</v>
      </c>
      <c r="D25" t="inlineStr">
        <is>
          <t>JÖNKÖPINGS LÄN</t>
        </is>
      </c>
      <c r="E25" t="inlineStr">
        <is>
          <t>HABO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2986-2019</t>
        </is>
      </c>
      <c r="B26" s="1" t="n">
        <v>43479</v>
      </c>
      <c r="C26" s="1" t="n">
        <v>45354</v>
      </c>
      <c r="D26" t="inlineStr">
        <is>
          <t>JÖNKÖPINGS LÄN</t>
        </is>
      </c>
      <c r="E26" t="inlineStr">
        <is>
          <t>HABO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3460-2019</t>
        </is>
      </c>
      <c r="B27" s="1" t="n">
        <v>43481</v>
      </c>
      <c r="C27" s="1" t="n">
        <v>45354</v>
      </c>
      <c r="D27" t="inlineStr">
        <is>
          <t>JÖNKÖPINGS LÄN</t>
        </is>
      </c>
      <c r="E27" t="inlineStr">
        <is>
          <t>HABO</t>
        </is>
      </c>
      <c r="F27" t="inlineStr">
        <is>
          <t>Kommuner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8177-2019</t>
        </is>
      </c>
      <c r="B28" s="1" t="n">
        <v>43501</v>
      </c>
      <c r="C28" s="1" t="n">
        <v>45354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9709-2019</t>
        </is>
      </c>
      <c r="B29" s="1" t="n">
        <v>43508</v>
      </c>
      <c r="C29" s="1" t="n">
        <v>45354</v>
      </c>
      <c r="D29" t="inlineStr">
        <is>
          <t>JÖNKÖPINGS LÄN</t>
        </is>
      </c>
      <c r="E29" t="inlineStr">
        <is>
          <t>HABO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11220-2019</t>
        </is>
      </c>
      <c r="B30" s="1" t="n">
        <v>43516</v>
      </c>
      <c r="C30" s="1" t="n">
        <v>45354</v>
      </c>
      <c r="D30" t="inlineStr">
        <is>
          <t>JÖNKÖPINGS LÄN</t>
        </is>
      </c>
      <c r="E30" t="inlineStr">
        <is>
          <t>HABO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11369-2019</t>
        </is>
      </c>
      <c r="B31" s="1" t="n">
        <v>43517</v>
      </c>
      <c r="C31" s="1" t="n">
        <v>45354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17611-2019</t>
        </is>
      </c>
      <c r="B32" s="1" t="n">
        <v>43555</v>
      </c>
      <c r="C32" s="1" t="n">
        <v>45354</v>
      </c>
      <c r="D32" t="inlineStr">
        <is>
          <t>JÖNKÖPINGS LÄN</t>
        </is>
      </c>
      <c r="E32" t="inlineStr">
        <is>
          <t>HABO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19279-2019</t>
        </is>
      </c>
      <c r="B33" s="1" t="n">
        <v>43565</v>
      </c>
      <c r="C33" s="1" t="n">
        <v>45354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45354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45354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45354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45354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45354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45354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45354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45354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45354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45354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45354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45354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45354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45354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45354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45354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45354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45354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45354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45354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45354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45354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45354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45354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45354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45354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45354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45354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45354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45354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45354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45354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45354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45354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45354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45354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45354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45354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45354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45354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45354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45354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45354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45354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45354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45354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45354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45354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45354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45354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45354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45354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45354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45354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45354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45354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45354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45354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45354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45354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45354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45354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45354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45354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45354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45354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45354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45354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45354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45354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45354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45354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45354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45354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45354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45354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45354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45354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45354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45354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45354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45354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45354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45354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45354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45354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45354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45354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45354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45354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45354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45354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45354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45354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45354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45354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45354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45354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45354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45354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45354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45354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45354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45354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45354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45354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45354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45354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45354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45354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45354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45354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45354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45354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45354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45354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45354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45354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45354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45354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45354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45354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45354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45354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45354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45354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45354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45354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45354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45354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45354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45354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45354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45354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45354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45354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45354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45354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45354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45354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45354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45354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45354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45354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45354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45354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45354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45354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45354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45354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45354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45354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45354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45354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45354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45354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45354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45354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45354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45354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45354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45354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45354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45354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45354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45354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45354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45354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45354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45354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45354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45354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45354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45354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45354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45354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45354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45354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45354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45354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45354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45354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45354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45354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45354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45354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45354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45354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45354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45354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45354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45354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45354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45354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45354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45354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45354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45354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45354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45354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45354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45354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45354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45354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45354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45354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45354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45354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45354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45354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45354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45354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45354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45354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45354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45354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45354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45354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45354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45354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45354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56290-2023</t>
        </is>
      </c>
      <c r="B255" s="1" t="n">
        <v>45242</v>
      </c>
      <c r="C255" s="1" t="n">
        <v>45354</v>
      </c>
      <c r="D255" t="inlineStr">
        <is>
          <t>JÖNKÖPINGS LÄN</t>
        </is>
      </c>
      <c r="E255" t="inlineStr">
        <is>
          <t>HABO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56333-2023</t>
        </is>
      </c>
      <c r="B256" s="1" t="n">
        <v>45243</v>
      </c>
      <c r="C256" s="1" t="n">
        <v>45354</v>
      </c>
      <c r="D256" t="inlineStr">
        <is>
          <t>JÖNKÖPINGS LÄN</t>
        </is>
      </c>
      <c r="E256" t="inlineStr">
        <is>
          <t>HABO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57422-2023</t>
        </is>
      </c>
      <c r="B257" s="1" t="n">
        <v>45246</v>
      </c>
      <c r="C257" s="1" t="n">
        <v>45354</v>
      </c>
      <c r="D257" t="inlineStr">
        <is>
          <t>JÖNKÖPINGS LÄN</t>
        </is>
      </c>
      <c r="E257" t="inlineStr">
        <is>
          <t>HABO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57755-2023</t>
        </is>
      </c>
      <c r="B258" s="1" t="n">
        <v>45246</v>
      </c>
      <c r="C258" s="1" t="n">
        <v>45354</v>
      </c>
      <c r="D258" t="inlineStr">
        <is>
          <t>JÖNKÖPINGS LÄN</t>
        </is>
      </c>
      <c r="E258" t="inlineStr">
        <is>
          <t>HABO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60227-2023</t>
        </is>
      </c>
      <c r="B259" s="1" t="n">
        <v>45258</v>
      </c>
      <c r="C259" s="1" t="n">
        <v>45354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45354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62742-2023</t>
        </is>
      </c>
      <c r="B261" s="1" t="n">
        <v>45271</v>
      </c>
      <c r="C261" s="1" t="n">
        <v>45354</v>
      </c>
      <c r="D261" t="inlineStr">
        <is>
          <t>JÖNKÖPINGS LÄN</t>
        </is>
      </c>
      <c r="E261" t="inlineStr">
        <is>
          <t>HABO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62764-2023</t>
        </is>
      </c>
      <c r="B262" s="1" t="n">
        <v>45271</v>
      </c>
      <c r="C262" s="1" t="n">
        <v>45354</v>
      </c>
      <c r="D262" t="inlineStr">
        <is>
          <t>JÖNKÖPINGS LÄN</t>
        </is>
      </c>
      <c r="E262" t="inlineStr">
        <is>
          <t>HABO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63418-2023</t>
        </is>
      </c>
      <c r="B263" s="1" t="n">
        <v>45274</v>
      </c>
      <c r="C263" s="1" t="n">
        <v>45354</v>
      </c>
      <c r="D263" t="inlineStr">
        <is>
          <t>JÖNKÖPINGS LÄN</t>
        </is>
      </c>
      <c r="E263" t="inlineStr">
        <is>
          <t>HABO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63599-2023</t>
        </is>
      </c>
      <c r="B264" s="1" t="n">
        <v>45275</v>
      </c>
      <c r="C264" s="1" t="n">
        <v>45354</v>
      </c>
      <c r="D264" t="inlineStr">
        <is>
          <t>JÖNKÖPINGS LÄN</t>
        </is>
      </c>
      <c r="E264" t="inlineStr">
        <is>
          <t>HABO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63922-2023</t>
        </is>
      </c>
      <c r="B265" s="1" t="n">
        <v>45278</v>
      </c>
      <c r="C265" s="1" t="n">
        <v>45354</v>
      </c>
      <c r="D265" t="inlineStr">
        <is>
          <t>JÖNKÖPINGS LÄN</t>
        </is>
      </c>
      <c r="E265" t="inlineStr">
        <is>
          <t>HABO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65067-2023</t>
        </is>
      </c>
      <c r="B266" s="1" t="n">
        <v>45287</v>
      </c>
      <c r="C266" s="1" t="n">
        <v>45354</v>
      </c>
      <c r="D266" t="inlineStr">
        <is>
          <t>JÖNKÖPINGS LÄN</t>
        </is>
      </c>
      <c r="E266" t="inlineStr">
        <is>
          <t>HABO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476-2024</t>
        </is>
      </c>
      <c r="B267" s="1" t="n">
        <v>45297</v>
      </c>
      <c r="C267" s="1" t="n">
        <v>45354</v>
      </c>
      <c r="D267" t="inlineStr">
        <is>
          <t>JÖNKÖPINGS LÄN</t>
        </is>
      </c>
      <c r="E267" t="inlineStr">
        <is>
          <t>HABO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778-2024</t>
        </is>
      </c>
      <c r="B268" s="1" t="n">
        <v>45300</v>
      </c>
      <c r="C268" s="1" t="n">
        <v>45354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45354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1539-2024</t>
        </is>
      </c>
      <c r="B270" s="1" t="n">
        <v>45306</v>
      </c>
      <c r="C270" s="1" t="n">
        <v>45354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1699-2024</t>
        </is>
      </c>
      <c r="B271" s="1" t="n">
        <v>45307</v>
      </c>
      <c r="C271" s="1" t="n">
        <v>45354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2374-2024</t>
        </is>
      </c>
      <c r="B272" s="1" t="n">
        <v>45310</v>
      </c>
      <c r="C272" s="1" t="n">
        <v>45354</v>
      </c>
      <c r="D272" t="inlineStr">
        <is>
          <t>JÖNKÖPINGS LÄN</t>
        </is>
      </c>
      <c r="E272" t="inlineStr">
        <is>
          <t>HABO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3077-2024</t>
        </is>
      </c>
      <c r="B273" s="1" t="n">
        <v>45316</v>
      </c>
      <c r="C273" s="1" t="n">
        <v>45354</v>
      </c>
      <c r="D273" t="inlineStr">
        <is>
          <t>JÖNKÖPINGS LÄN</t>
        </is>
      </c>
      <c r="E273" t="inlineStr">
        <is>
          <t>HABO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3913-2024</t>
        </is>
      </c>
      <c r="B274" s="1" t="n">
        <v>45322</v>
      </c>
      <c r="C274" s="1" t="n">
        <v>45354</v>
      </c>
      <c r="D274" t="inlineStr">
        <is>
          <t>JÖNKÖPINGS LÄN</t>
        </is>
      </c>
      <c r="E274" t="inlineStr">
        <is>
          <t>HABO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3969-2024</t>
        </is>
      </c>
      <c r="B275" s="1" t="n">
        <v>45322</v>
      </c>
      <c r="C275" s="1" t="n">
        <v>45354</v>
      </c>
      <c r="D275" t="inlineStr">
        <is>
          <t>JÖNKÖPINGS LÄN</t>
        </is>
      </c>
      <c r="E275" t="inlineStr">
        <is>
          <t>HABO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4836-2024</t>
        </is>
      </c>
      <c r="B276" s="1" t="n">
        <v>45329</v>
      </c>
      <c r="C276" s="1" t="n">
        <v>45354</v>
      </c>
      <c r="D276" t="inlineStr">
        <is>
          <t>JÖNKÖPINGS LÄN</t>
        </is>
      </c>
      <c r="E276" t="inlineStr">
        <is>
          <t>HABO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4837-2024</t>
        </is>
      </c>
      <c r="B277" s="1" t="n">
        <v>45329</v>
      </c>
      <c r="C277" s="1" t="n">
        <v>45354</v>
      </c>
      <c r="D277" t="inlineStr">
        <is>
          <t>JÖNKÖPINGS LÄN</t>
        </is>
      </c>
      <c r="E277" t="inlineStr">
        <is>
          <t>HABO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2024-03-03T12:57:25Z</dcterms:created>
  <dcterms:modified xmlns:dcterms="http://purl.org/dc/terms/" xmlns:xsi="http://www.w3.org/2001/XMLSchema-instance" xsi:type="dcterms:W3CDTF">2024-03-03T12:57:26Z</dcterms:modified>
</cp:coreProperties>
</file>