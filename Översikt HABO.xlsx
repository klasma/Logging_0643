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45792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45792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45792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45792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45792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45792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45792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45792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45792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45792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45792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45792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36230-2024</t>
        </is>
      </c>
      <c r="B14" s="1" t="n">
        <v>45534</v>
      </c>
      <c r="C14" s="1" t="n">
        <v>45792</v>
      </c>
      <c r="D14" t="inlineStr">
        <is>
          <t>JÖNKÖPINGS LÄN</t>
        </is>
      </c>
      <c r="E14" t="inlineStr">
        <is>
          <t>HABO</t>
        </is>
      </c>
      <c r="F14" t="inlineStr">
        <is>
          <t>Allmännings- och besparingsskogar</t>
        </is>
      </c>
      <c r="G14" t="n">
        <v>6.5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Skrovlig taggsvamp
Dropptaggsvamp
Mindre märgborre</t>
        </is>
      </c>
      <c r="S14">
        <f>HYPERLINK("https://klasma.github.io/Logging_0643/artfynd/A 36230-2024 artfynd.xlsx", "A 36230-2024")</f>
        <v/>
      </c>
      <c r="T14">
        <f>HYPERLINK("https://klasma.github.io/Logging_0643/kartor/A 36230-2024 karta.png", "A 36230-2024")</f>
        <v/>
      </c>
      <c r="V14">
        <f>HYPERLINK("https://klasma.github.io/Logging_0643/klagomål/A 36230-2024 FSC-klagomål.docx", "A 36230-2024")</f>
        <v/>
      </c>
      <c r="W14">
        <f>HYPERLINK("https://klasma.github.io/Logging_0643/klagomålsmail/A 36230-2024 FSC-klagomål mail.docx", "A 36230-2024")</f>
        <v/>
      </c>
      <c r="X14">
        <f>HYPERLINK("https://klasma.github.io/Logging_0643/tillsyn/A 36230-2024 tillsynsbegäran.docx", "A 36230-2024")</f>
        <v/>
      </c>
      <c r="Y14">
        <f>HYPERLINK("https://klasma.github.io/Logging_0643/tillsynsmail/A 36230-2024 tillsynsbegäran mail.docx", "A 36230-2024")</f>
        <v/>
      </c>
    </row>
    <row r="15" ht="15" customHeight="1">
      <c r="A15" t="inlineStr">
        <is>
          <t>A 55371-2024</t>
        </is>
      </c>
      <c r="B15" s="1" t="n">
        <v>45621</v>
      </c>
      <c r="C15" s="1" t="n">
        <v>45792</v>
      </c>
      <c r="D15" t="inlineStr">
        <is>
          <t>JÖNKÖPINGS LÄN</t>
        </is>
      </c>
      <c r="E15" t="inlineStr">
        <is>
          <t>HABO</t>
        </is>
      </c>
      <c r="G15" t="n">
        <v>10.6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Blomkålssvamp
Dropptaggsvamp
Mindre märgborre</t>
        </is>
      </c>
      <c r="S15">
        <f>HYPERLINK("https://klasma.github.io/Logging_0643/artfynd/A 55371-2024 artfynd.xlsx", "A 55371-2024")</f>
        <v/>
      </c>
      <c r="T15">
        <f>HYPERLINK("https://klasma.github.io/Logging_0643/kartor/A 55371-2024 karta.png", "A 55371-2024")</f>
        <v/>
      </c>
      <c r="V15">
        <f>HYPERLINK("https://klasma.github.io/Logging_0643/klagomål/A 55371-2024 FSC-klagomål.docx", "A 55371-2024")</f>
        <v/>
      </c>
      <c r="W15">
        <f>HYPERLINK("https://klasma.github.io/Logging_0643/klagomålsmail/A 55371-2024 FSC-klagomål mail.docx", "A 55371-2024")</f>
        <v/>
      </c>
      <c r="X15">
        <f>HYPERLINK("https://klasma.github.io/Logging_0643/tillsyn/A 55371-2024 tillsynsbegäran.docx", "A 55371-2024")</f>
        <v/>
      </c>
      <c r="Y15">
        <f>HYPERLINK("https://klasma.github.io/Logging_0643/tillsynsmail/A 55371-2024 tillsynsbegäran mail.docx", "A 55371-2024")</f>
        <v/>
      </c>
    </row>
    <row r="16" ht="15" customHeight="1">
      <c r="A16" t="inlineStr">
        <is>
          <t>A 17847-2024</t>
        </is>
      </c>
      <c r="B16" s="1" t="n">
        <v>45419</v>
      </c>
      <c r="C16" s="1" t="n">
        <v>45792</v>
      </c>
      <c r="D16" t="inlineStr">
        <is>
          <t>JÖNKÖPINGS LÄN</t>
        </is>
      </c>
      <c r="E16" t="inlineStr">
        <is>
          <t>HABO</t>
        </is>
      </c>
      <c r="G16" t="n">
        <v>3.5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Talltita
Revlummer</t>
        </is>
      </c>
      <c r="S16">
        <f>HYPERLINK("https://klasma.github.io/Logging_0643/artfynd/A 17847-2024 artfynd.xlsx", "A 17847-2024")</f>
        <v/>
      </c>
      <c r="T16">
        <f>HYPERLINK("https://klasma.github.io/Logging_0643/kartor/A 17847-2024 karta.png", "A 17847-2024")</f>
        <v/>
      </c>
      <c r="U16">
        <f>HYPERLINK("https://klasma.github.io/Logging_0643/knärot/A 17847-2024 karta knärot.png", "A 17847-2024")</f>
        <v/>
      </c>
      <c r="V16">
        <f>HYPERLINK("https://klasma.github.io/Logging_0643/klagomål/A 17847-2024 FSC-klagomål.docx", "A 17847-2024")</f>
        <v/>
      </c>
      <c r="W16">
        <f>HYPERLINK("https://klasma.github.io/Logging_0643/klagomålsmail/A 17847-2024 FSC-klagomål mail.docx", "A 17847-2024")</f>
        <v/>
      </c>
      <c r="X16">
        <f>HYPERLINK("https://klasma.github.io/Logging_0643/tillsyn/A 17847-2024 tillsynsbegäran.docx", "A 17847-2024")</f>
        <v/>
      </c>
      <c r="Y16">
        <f>HYPERLINK("https://klasma.github.io/Logging_0643/tillsynsmail/A 17847-2024 tillsynsbegäran mail.docx", "A 17847-2024")</f>
        <v/>
      </c>
      <c r="Z16">
        <f>HYPERLINK("https://klasma.github.io/Logging_0643/fåglar/A 17847-2024 prioriterade fågelarter.docx", "A 17847-2024")</f>
        <v/>
      </c>
    </row>
    <row r="17" ht="15" customHeight="1">
      <c r="A17" t="inlineStr">
        <is>
          <t>A 28842-2022</t>
        </is>
      </c>
      <c r="B17" s="1" t="n">
        <v>44749</v>
      </c>
      <c r="C17" s="1" t="n">
        <v>45792</v>
      </c>
      <c r="D17" t="inlineStr">
        <is>
          <t>JÖNKÖPINGS LÄN</t>
        </is>
      </c>
      <c r="E17" t="inlineStr">
        <is>
          <t>HABO</t>
        </is>
      </c>
      <c r="G17" t="n">
        <v>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Skrovlig taggsvamp
Blomkålssvamp</t>
        </is>
      </c>
      <c r="S17">
        <f>HYPERLINK("https://klasma.github.io/Logging_0643/artfynd/A 28842-2022 artfynd.xlsx", "A 28842-2022")</f>
        <v/>
      </c>
      <c r="T17">
        <f>HYPERLINK("https://klasma.github.io/Logging_0643/kartor/A 28842-2022 karta.png", "A 28842-2022")</f>
        <v/>
      </c>
      <c r="V17">
        <f>HYPERLINK("https://klasma.github.io/Logging_0643/klagomål/A 28842-2022 FSC-klagomål.docx", "A 28842-2022")</f>
        <v/>
      </c>
      <c r="W17">
        <f>HYPERLINK("https://klasma.github.io/Logging_0643/klagomålsmail/A 28842-2022 FSC-klagomål mail.docx", "A 28842-2022")</f>
        <v/>
      </c>
      <c r="X17">
        <f>HYPERLINK("https://klasma.github.io/Logging_0643/tillsyn/A 28842-2022 tillsynsbegäran.docx", "A 28842-2022")</f>
        <v/>
      </c>
      <c r="Y17">
        <f>HYPERLINK("https://klasma.github.io/Logging_0643/tillsynsmail/A 28842-2022 tillsynsbegäran mail.docx", "A 28842-2022")</f>
        <v/>
      </c>
    </row>
    <row r="18" ht="15" customHeight="1">
      <c r="A18" t="inlineStr">
        <is>
          <t>A 28847-2022</t>
        </is>
      </c>
      <c r="B18" s="1" t="n">
        <v>44749</v>
      </c>
      <c r="C18" s="1" t="n">
        <v>45792</v>
      </c>
      <c r="D18" t="inlineStr">
        <is>
          <t>JÖNKÖPINGS LÄN</t>
        </is>
      </c>
      <c r="E18" t="inlineStr">
        <is>
          <t>HABO</t>
        </is>
      </c>
      <c r="G18" t="n">
        <v>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Zontaggsvamp</t>
        </is>
      </c>
      <c r="S18">
        <f>HYPERLINK("https://klasma.github.io/Logging_0643/artfynd/A 28847-2022 artfynd.xlsx", "A 28847-2022")</f>
        <v/>
      </c>
      <c r="T18">
        <f>HYPERLINK("https://klasma.github.io/Logging_0643/kartor/A 28847-2022 karta.png", "A 28847-2022")</f>
        <v/>
      </c>
      <c r="V18">
        <f>HYPERLINK("https://klasma.github.io/Logging_0643/klagomål/A 28847-2022 FSC-klagomål.docx", "A 28847-2022")</f>
        <v/>
      </c>
      <c r="W18">
        <f>HYPERLINK("https://klasma.github.io/Logging_0643/klagomålsmail/A 28847-2022 FSC-klagomål mail.docx", "A 28847-2022")</f>
        <v/>
      </c>
      <c r="X18">
        <f>HYPERLINK("https://klasma.github.io/Logging_0643/tillsyn/A 28847-2022 tillsynsbegäran.docx", "A 28847-2022")</f>
        <v/>
      </c>
      <c r="Y18">
        <f>HYPERLINK("https://klasma.github.io/Logging_0643/tillsynsmail/A 28847-2022 tillsynsbegäran mail.docx", "A 28847-2022")</f>
        <v/>
      </c>
    </row>
    <row r="19" ht="15" customHeight="1">
      <c r="A19" t="inlineStr">
        <is>
          <t>A 29448-2023</t>
        </is>
      </c>
      <c r="B19" s="1" t="n">
        <v>45106</v>
      </c>
      <c r="C19" s="1" t="n">
        <v>45792</v>
      </c>
      <c r="D19" t="inlineStr">
        <is>
          <t>JÖNKÖPINGS LÄN</t>
        </is>
      </c>
      <c r="E19" t="inlineStr">
        <is>
          <t>HABO</t>
        </is>
      </c>
      <c r="G19" t="n">
        <v>4.6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Sexfläckig bastardsvärmare
Guldlockmossa</t>
        </is>
      </c>
      <c r="S19">
        <f>HYPERLINK("https://klasma.github.io/Logging_0643/artfynd/A 29448-2023 artfynd.xlsx", "A 29448-2023")</f>
        <v/>
      </c>
      <c r="T19">
        <f>HYPERLINK("https://klasma.github.io/Logging_0643/kartor/A 29448-2023 karta.png", "A 29448-2023")</f>
        <v/>
      </c>
      <c r="V19">
        <f>HYPERLINK("https://klasma.github.io/Logging_0643/klagomål/A 29448-2023 FSC-klagomål.docx", "A 29448-2023")</f>
        <v/>
      </c>
      <c r="W19">
        <f>HYPERLINK("https://klasma.github.io/Logging_0643/klagomålsmail/A 29448-2023 FSC-klagomål mail.docx", "A 29448-2023")</f>
        <v/>
      </c>
      <c r="X19">
        <f>HYPERLINK("https://klasma.github.io/Logging_0643/tillsyn/A 29448-2023 tillsynsbegäran.docx", "A 29448-2023")</f>
        <v/>
      </c>
      <c r="Y19">
        <f>HYPERLINK("https://klasma.github.io/Logging_0643/tillsynsmail/A 29448-2023 tillsynsbegäran mail.docx", "A 29448-2023")</f>
        <v/>
      </c>
    </row>
    <row r="20" ht="15" customHeight="1">
      <c r="A20" t="inlineStr">
        <is>
          <t>A 43324-2024</t>
        </is>
      </c>
      <c r="B20" s="1" t="n">
        <v>45568</v>
      </c>
      <c r="C20" s="1" t="n">
        <v>45792</v>
      </c>
      <c r="D20" t="inlineStr">
        <is>
          <t>JÖNKÖPINGS LÄN</t>
        </is>
      </c>
      <c r="E20" t="inlineStr">
        <is>
          <t>HABO</t>
        </is>
      </c>
      <c r="G20" t="n">
        <v>3.9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Blomkålssvamp</t>
        </is>
      </c>
      <c r="S20">
        <f>HYPERLINK("https://klasma.github.io/Logging_0643/artfynd/A 43324-2024 artfynd.xlsx", "A 43324-2024")</f>
        <v/>
      </c>
      <c r="T20">
        <f>HYPERLINK("https://klasma.github.io/Logging_0643/kartor/A 43324-2024 karta.png", "A 43324-2024")</f>
        <v/>
      </c>
      <c r="V20">
        <f>HYPERLINK("https://klasma.github.io/Logging_0643/klagomål/A 43324-2024 FSC-klagomål.docx", "A 43324-2024")</f>
        <v/>
      </c>
      <c r="W20">
        <f>HYPERLINK("https://klasma.github.io/Logging_0643/klagomålsmail/A 43324-2024 FSC-klagomål mail.docx", "A 43324-2024")</f>
        <v/>
      </c>
      <c r="X20">
        <f>HYPERLINK("https://klasma.github.io/Logging_0643/tillsyn/A 43324-2024 tillsynsbegäran.docx", "A 43324-2024")</f>
        <v/>
      </c>
      <c r="Y20">
        <f>HYPERLINK("https://klasma.github.io/Logging_0643/tillsynsmail/A 43324-2024 tillsynsbegäran mail.docx", "A 43324-2024")</f>
        <v/>
      </c>
    </row>
    <row r="21" ht="15" customHeight="1">
      <c r="A21" t="inlineStr">
        <is>
          <t>A 57916-2024</t>
        </is>
      </c>
      <c r="B21" s="1" t="n">
        <v>45631</v>
      </c>
      <c r="C21" s="1" t="n">
        <v>45792</v>
      </c>
      <c r="D21" t="inlineStr">
        <is>
          <t>JÖNKÖPINGS LÄN</t>
        </is>
      </c>
      <c r="E21" t="inlineStr">
        <is>
          <t>HABO</t>
        </is>
      </c>
      <c r="G21" t="n">
        <v>4.7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Blomkålssvamp</t>
        </is>
      </c>
      <c r="S21">
        <f>HYPERLINK("https://klasma.github.io/Logging_0643/artfynd/A 57916-2024 artfynd.xlsx", "A 57916-2024")</f>
        <v/>
      </c>
      <c r="T21">
        <f>HYPERLINK("https://klasma.github.io/Logging_0643/kartor/A 57916-2024 karta.png", "A 57916-2024")</f>
        <v/>
      </c>
      <c r="V21">
        <f>HYPERLINK("https://klasma.github.io/Logging_0643/klagomål/A 57916-2024 FSC-klagomål.docx", "A 57916-2024")</f>
        <v/>
      </c>
      <c r="W21">
        <f>HYPERLINK("https://klasma.github.io/Logging_0643/klagomålsmail/A 57916-2024 FSC-klagomål mail.docx", "A 57916-2024")</f>
        <v/>
      </c>
      <c r="X21">
        <f>HYPERLINK("https://klasma.github.io/Logging_0643/tillsyn/A 57916-2024 tillsynsbegäran.docx", "A 57916-2024")</f>
        <v/>
      </c>
      <c r="Y21">
        <f>HYPERLINK("https://klasma.github.io/Logging_0643/tillsynsmail/A 57916-2024 tillsynsbegäran mail.docx", "A 57916-2024")</f>
        <v/>
      </c>
    </row>
    <row r="22" ht="15" customHeight="1">
      <c r="A22" t="inlineStr">
        <is>
          <t>A 58663-2024</t>
        </is>
      </c>
      <c r="B22" s="1" t="n">
        <v>45635</v>
      </c>
      <c r="C22" s="1" t="n">
        <v>45792</v>
      </c>
      <c r="D22" t="inlineStr">
        <is>
          <t>JÖNKÖPINGS LÄN</t>
        </is>
      </c>
      <c r="E22" t="inlineStr">
        <is>
          <t>HABO</t>
        </is>
      </c>
      <c r="G22" t="n">
        <v>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Rhithrogena germanica</t>
        </is>
      </c>
      <c r="S22">
        <f>HYPERLINK("https://klasma.github.io/Logging_0643/artfynd/A 58663-2024 artfynd.xlsx", "A 58663-2024")</f>
        <v/>
      </c>
      <c r="T22">
        <f>HYPERLINK("https://klasma.github.io/Logging_0643/kartor/A 58663-2024 karta.png", "A 58663-2024")</f>
        <v/>
      </c>
      <c r="V22">
        <f>HYPERLINK("https://klasma.github.io/Logging_0643/klagomål/A 58663-2024 FSC-klagomål.docx", "A 58663-2024")</f>
        <v/>
      </c>
      <c r="W22">
        <f>HYPERLINK("https://klasma.github.io/Logging_0643/klagomålsmail/A 58663-2024 FSC-klagomål mail.docx", "A 58663-2024")</f>
        <v/>
      </c>
      <c r="X22">
        <f>HYPERLINK("https://klasma.github.io/Logging_0643/tillsyn/A 58663-2024 tillsynsbegäran.docx", "A 58663-2024")</f>
        <v/>
      </c>
      <c r="Y22">
        <f>HYPERLINK("https://klasma.github.io/Logging_0643/tillsynsmail/A 58663-2024 tillsynsbegäran mail.docx", "A 58663-2024")</f>
        <v/>
      </c>
    </row>
    <row r="23" ht="15" customHeight="1">
      <c r="A23" t="inlineStr">
        <is>
          <t>A 58667-2024</t>
        </is>
      </c>
      <c r="B23" s="1" t="n">
        <v>45635</v>
      </c>
      <c r="C23" s="1" t="n">
        <v>45792</v>
      </c>
      <c r="D23" t="inlineStr">
        <is>
          <t>JÖNKÖPINGS LÄN</t>
        </is>
      </c>
      <c r="E23" t="inlineStr">
        <is>
          <t>HABO</t>
        </is>
      </c>
      <c r="G23" t="n">
        <v>1.8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Motaggsvamp
Vaddporing</t>
        </is>
      </c>
      <c r="S23">
        <f>HYPERLINK("https://klasma.github.io/Logging_0643/artfynd/A 58667-2024 artfynd.xlsx", "A 58667-2024")</f>
        <v/>
      </c>
      <c r="T23">
        <f>HYPERLINK("https://klasma.github.io/Logging_0643/kartor/A 58667-2024 karta.png", "A 58667-2024")</f>
        <v/>
      </c>
      <c r="U23">
        <f>HYPERLINK("https://klasma.github.io/Logging_0643/knärot/A 58667-2024 karta knärot.png", "A 58667-2024")</f>
        <v/>
      </c>
      <c r="V23">
        <f>HYPERLINK("https://klasma.github.io/Logging_0643/klagomål/A 58667-2024 FSC-klagomål.docx", "A 58667-2024")</f>
        <v/>
      </c>
      <c r="W23">
        <f>HYPERLINK("https://klasma.github.io/Logging_0643/klagomålsmail/A 58667-2024 FSC-klagomål mail.docx", "A 58667-2024")</f>
        <v/>
      </c>
      <c r="X23">
        <f>HYPERLINK("https://klasma.github.io/Logging_0643/tillsyn/A 58667-2024 tillsynsbegäran.docx", "A 58667-2024")</f>
        <v/>
      </c>
      <c r="Y23">
        <f>HYPERLINK("https://klasma.github.io/Logging_0643/tillsynsmail/A 58667-2024 tillsynsbegäran mail.docx", "A 58667-2024")</f>
        <v/>
      </c>
    </row>
    <row r="24" ht="15" customHeight="1">
      <c r="A24" t="inlineStr">
        <is>
          <t>A 53298-2022</t>
        </is>
      </c>
      <c r="B24" s="1" t="n">
        <v>44877</v>
      </c>
      <c r="C24" s="1" t="n">
        <v>45792</v>
      </c>
      <c r="D24" t="inlineStr">
        <is>
          <t>JÖNKÖPINGS LÄN</t>
        </is>
      </c>
      <c r="E24" t="inlineStr">
        <is>
          <t>HABO</t>
        </is>
      </c>
      <c r="G24" t="n">
        <v>2.5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HYPERLINK("https://klasma.github.io/Logging_0643/artfynd/A 53298-2022 artfynd.xlsx", "A 53298-2022")</f>
        <v/>
      </c>
      <c r="T24">
        <f>HYPERLINK("https://klasma.github.io/Logging_0643/kartor/A 53298-2022 karta.png", "A 53298-2022")</f>
        <v/>
      </c>
      <c r="V24">
        <f>HYPERLINK("https://klasma.github.io/Logging_0643/klagomål/A 53298-2022 FSC-klagomål.docx", "A 53298-2022")</f>
        <v/>
      </c>
      <c r="W24">
        <f>HYPERLINK("https://klasma.github.io/Logging_0643/klagomålsmail/A 53298-2022 FSC-klagomål mail.docx", "A 53298-2022")</f>
        <v/>
      </c>
      <c r="X24">
        <f>HYPERLINK("https://klasma.github.io/Logging_0643/tillsyn/A 53298-2022 tillsynsbegäran.docx", "A 53298-2022")</f>
        <v/>
      </c>
      <c r="Y24">
        <f>HYPERLINK("https://klasma.github.io/Logging_0643/tillsynsmail/A 53298-2022 tillsynsbegäran mail.docx", "A 53298-2022")</f>
        <v/>
      </c>
    </row>
    <row r="25" ht="15" customHeight="1">
      <c r="A25" t="inlineStr">
        <is>
          <t>A 52417-2023</t>
        </is>
      </c>
      <c r="B25" s="1" t="n">
        <v>45225</v>
      </c>
      <c r="C25" s="1" t="n">
        <v>45792</v>
      </c>
      <c r="D25" t="inlineStr">
        <is>
          <t>JÖNKÖPINGS LÄN</t>
        </is>
      </c>
      <c r="E25" t="inlineStr">
        <is>
          <t>HABO</t>
        </is>
      </c>
      <c r="G25" t="n">
        <v>9.800000000000001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HYPERLINK("https://klasma.github.io/Logging_0643/artfynd/A 52417-2023 artfynd.xlsx", "A 52417-2023")</f>
        <v/>
      </c>
      <c r="T25">
        <f>HYPERLINK("https://klasma.github.io/Logging_0643/kartor/A 52417-2023 karta.png", "A 52417-2023")</f>
        <v/>
      </c>
      <c r="V25">
        <f>HYPERLINK("https://klasma.github.io/Logging_0643/klagomål/A 52417-2023 FSC-klagomål.docx", "A 52417-2023")</f>
        <v/>
      </c>
      <c r="W25">
        <f>HYPERLINK("https://klasma.github.io/Logging_0643/klagomålsmail/A 52417-2023 FSC-klagomål mail.docx", "A 52417-2023")</f>
        <v/>
      </c>
      <c r="X25">
        <f>HYPERLINK("https://klasma.github.io/Logging_0643/tillsyn/A 52417-2023 tillsynsbegäran.docx", "A 52417-2023")</f>
        <v/>
      </c>
      <c r="Y25">
        <f>HYPERLINK("https://klasma.github.io/Logging_0643/tillsynsmail/A 52417-2023 tillsynsbegäran mail.docx", "A 52417-2023")</f>
        <v/>
      </c>
    </row>
    <row r="26" ht="15" customHeight="1">
      <c r="A26" t="inlineStr">
        <is>
          <t>A 56290-2023</t>
        </is>
      </c>
      <c r="B26" s="1" t="n">
        <v>45242</v>
      </c>
      <c r="C26" s="1" t="n">
        <v>45792</v>
      </c>
      <c r="D26" t="inlineStr">
        <is>
          <t>JÖNKÖPINGS LÄN</t>
        </is>
      </c>
      <c r="E26" t="inlineStr">
        <is>
          <t>HABO</t>
        </is>
      </c>
      <c r="G26" t="n">
        <v>13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Drillsnäppa</t>
        </is>
      </c>
      <c r="S26">
        <f>HYPERLINK("https://klasma.github.io/Logging_0643/artfynd/A 56290-2023 artfynd.xlsx", "A 56290-2023")</f>
        <v/>
      </c>
      <c r="T26">
        <f>HYPERLINK("https://klasma.github.io/Logging_0643/kartor/A 56290-2023 karta.png", "A 56290-2023")</f>
        <v/>
      </c>
      <c r="V26">
        <f>HYPERLINK("https://klasma.github.io/Logging_0643/klagomål/A 56290-2023 FSC-klagomål.docx", "A 56290-2023")</f>
        <v/>
      </c>
      <c r="W26">
        <f>HYPERLINK("https://klasma.github.io/Logging_0643/klagomålsmail/A 56290-2023 FSC-klagomål mail.docx", "A 56290-2023")</f>
        <v/>
      </c>
      <c r="X26">
        <f>HYPERLINK("https://klasma.github.io/Logging_0643/tillsyn/A 56290-2023 tillsynsbegäran.docx", "A 56290-2023")</f>
        <v/>
      </c>
      <c r="Y26">
        <f>HYPERLINK("https://klasma.github.io/Logging_0643/tillsynsmail/A 56290-2023 tillsynsbegäran mail.docx", "A 56290-2023")</f>
        <v/>
      </c>
    </row>
    <row r="27" ht="15" customHeight="1">
      <c r="A27" t="inlineStr">
        <is>
          <t>A 36227-2024</t>
        </is>
      </c>
      <c r="B27" s="1" t="n">
        <v>45534</v>
      </c>
      <c r="C27" s="1" t="n">
        <v>45792</v>
      </c>
      <c r="D27" t="inlineStr">
        <is>
          <t>JÖNKÖPINGS LÄN</t>
        </is>
      </c>
      <c r="E27" t="inlineStr">
        <is>
          <t>HABO</t>
        </is>
      </c>
      <c r="F27" t="inlineStr">
        <is>
          <t>Allmännings- och besparingsskogar</t>
        </is>
      </c>
      <c r="G27" t="n">
        <v>6.7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HYPERLINK("https://klasma.github.io/Logging_0643/artfynd/A 36227-2024 artfynd.xlsx", "A 36227-2024")</f>
        <v/>
      </c>
      <c r="T27">
        <f>HYPERLINK("https://klasma.github.io/Logging_0643/kartor/A 36227-2024 karta.png", "A 36227-2024")</f>
        <v/>
      </c>
      <c r="V27">
        <f>HYPERLINK("https://klasma.github.io/Logging_0643/klagomål/A 36227-2024 FSC-klagomål.docx", "A 36227-2024")</f>
        <v/>
      </c>
      <c r="W27">
        <f>HYPERLINK("https://klasma.github.io/Logging_0643/klagomålsmail/A 36227-2024 FSC-klagomål mail.docx", "A 36227-2024")</f>
        <v/>
      </c>
      <c r="X27">
        <f>HYPERLINK("https://klasma.github.io/Logging_0643/tillsyn/A 36227-2024 tillsynsbegäran.docx", "A 36227-2024")</f>
        <v/>
      </c>
      <c r="Y27">
        <f>HYPERLINK("https://klasma.github.io/Logging_0643/tillsynsmail/A 36227-2024 tillsynsbegäran mail.docx", "A 36227-2024")</f>
        <v/>
      </c>
    </row>
    <row r="28" ht="15" customHeight="1">
      <c r="A28" t="inlineStr">
        <is>
          <t>A 49866-2024</t>
        </is>
      </c>
      <c r="B28" s="1" t="n">
        <v>45597</v>
      </c>
      <c r="C28" s="1" t="n">
        <v>45792</v>
      </c>
      <c r="D28" t="inlineStr">
        <is>
          <t>JÖNKÖPINGS LÄN</t>
        </is>
      </c>
      <c r="E28" t="inlineStr">
        <is>
          <t>HABO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HYPERLINK("https://klasma.github.io/Logging_0643/artfynd/A 49866-2024 artfynd.xlsx", "A 49866-2024")</f>
        <v/>
      </c>
      <c r="T28">
        <f>HYPERLINK("https://klasma.github.io/Logging_0643/kartor/A 49866-2024 karta.png", "A 49866-2024")</f>
        <v/>
      </c>
      <c r="V28">
        <f>HYPERLINK("https://klasma.github.io/Logging_0643/klagomål/A 49866-2024 FSC-klagomål.docx", "A 49866-2024")</f>
        <v/>
      </c>
      <c r="W28">
        <f>HYPERLINK("https://klasma.github.io/Logging_0643/klagomålsmail/A 49866-2024 FSC-klagomål mail.docx", "A 49866-2024")</f>
        <v/>
      </c>
      <c r="X28">
        <f>HYPERLINK("https://klasma.github.io/Logging_0643/tillsyn/A 49866-2024 tillsynsbegäran.docx", "A 49866-2024")</f>
        <v/>
      </c>
      <c r="Y28">
        <f>HYPERLINK("https://klasma.github.io/Logging_0643/tillsynsmail/A 49866-2024 tillsynsbegäran mail.docx", "A 49866-2024")</f>
        <v/>
      </c>
    </row>
    <row r="29" ht="15" customHeight="1">
      <c r="A29" t="inlineStr">
        <is>
          <t>A 58644-2024</t>
        </is>
      </c>
      <c r="B29" s="1" t="n">
        <v>45635</v>
      </c>
      <c r="C29" s="1" t="n">
        <v>45792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58644-2024 artfynd.xlsx", "A 58644-2024")</f>
        <v/>
      </c>
      <c r="T29">
        <f>HYPERLINK("https://klasma.github.io/Logging_0643/kartor/A 58644-2024 karta.png", "A 58644-2024")</f>
        <v/>
      </c>
      <c r="V29">
        <f>HYPERLINK("https://klasma.github.io/Logging_0643/klagomål/A 58644-2024 FSC-klagomål.docx", "A 58644-2024")</f>
        <v/>
      </c>
      <c r="W29">
        <f>HYPERLINK("https://klasma.github.io/Logging_0643/klagomålsmail/A 58644-2024 FSC-klagomål mail.docx", "A 58644-2024")</f>
        <v/>
      </c>
      <c r="X29">
        <f>HYPERLINK("https://klasma.github.io/Logging_0643/tillsyn/A 58644-2024 tillsynsbegäran.docx", "A 58644-2024")</f>
        <v/>
      </c>
      <c r="Y29">
        <f>HYPERLINK("https://klasma.github.io/Logging_0643/tillsynsmail/A 58644-2024 tillsynsbegäran mail.docx", "A 58644-2024")</f>
        <v/>
      </c>
    </row>
    <row r="30" ht="15" customHeight="1">
      <c r="A30" t="inlineStr">
        <is>
          <t>A 2545-2025</t>
        </is>
      </c>
      <c r="B30" s="1" t="n">
        <v>45674</v>
      </c>
      <c r="C30" s="1" t="n">
        <v>45792</v>
      </c>
      <c r="D30" t="inlineStr">
        <is>
          <t>JÖNKÖPINGS LÄN</t>
        </is>
      </c>
      <c r="E30" t="inlineStr">
        <is>
          <t>HABO</t>
        </is>
      </c>
      <c r="G30" t="n">
        <v>5.1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HYPERLINK("https://klasma.github.io/Logging_0643/artfynd/A 2545-2025 artfynd.xlsx", "A 2545-2025")</f>
        <v/>
      </c>
      <c r="T30">
        <f>HYPERLINK("https://klasma.github.io/Logging_0643/kartor/A 2545-2025 karta.png", "A 2545-2025")</f>
        <v/>
      </c>
      <c r="V30">
        <f>HYPERLINK("https://klasma.github.io/Logging_0643/klagomål/A 2545-2025 FSC-klagomål.docx", "A 2545-2025")</f>
        <v/>
      </c>
      <c r="W30">
        <f>HYPERLINK("https://klasma.github.io/Logging_0643/klagomålsmail/A 2545-2025 FSC-klagomål mail.docx", "A 2545-2025")</f>
        <v/>
      </c>
      <c r="X30">
        <f>HYPERLINK("https://klasma.github.io/Logging_0643/tillsyn/A 2545-2025 tillsynsbegäran.docx", "A 2545-2025")</f>
        <v/>
      </c>
      <c r="Y30">
        <f>HYPERLINK("https://klasma.github.io/Logging_0643/tillsynsmail/A 2545-2025 tillsynsbegäran mail.docx", "A 2545-2025")</f>
        <v/>
      </c>
    </row>
    <row r="31" ht="15" customHeight="1">
      <c r="A31" t="inlineStr">
        <is>
          <t>A 14704-2025</t>
        </is>
      </c>
      <c r="B31" s="1" t="n">
        <v>45742</v>
      </c>
      <c r="C31" s="1" t="n">
        <v>45792</v>
      </c>
      <c r="D31" t="inlineStr">
        <is>
          <t>JÖNKÖPINGS LÄN</t>
        </is>
      </c>
      <c r="E31" t="inlineStr">
        <is>
          <t>HABO</t>
        </is>
      </c>
      <c r="G31" t="n">
        <v>14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HYPERLINK("https://klasma.github.io/Logging_060643/artfynd/A 14704-2025 artfynd.xlsx", "A 14704-2025")</f>
        <v/>
      </c>
      <c r="T31">
        <f>HYPERLINK("https://klasma.github.io/Logging_060643/kartor/A 14704-2025 karta.png", "A 14704-2025")</f>
        <v/>
      </c>
      <c r="V31">
        <f>HYPERLINK("https://klasma.github.io/Logging_060643/klagomål/A 14704-2025 FSC-klagomål.docx", "A 14704-2025")</f>
        <v/>
      </c>
      <c r="W31">
        <f>HYPERLINK("https://klasma.github.io/Logging_060643/klagomålsmail/A 14704-2025 FSC-klagomål mail.docx", "A 14704-2025")</f>
        <v/>
      </c>
      <c r="X31">
        <f>HYPERLINK("https://klasma.github.io/Logging_060643/tillsyn/A 14704-2025 tillsynsbegäran.docx", "A 14704-2025")</f>
        <v/>
      </c>
      <c r="Y31">
        <f>HYPERLINK("https://klasma.github.io/Logging_060643/tillsynsmail/A 14704-2025 tillsynsbegäran mail.docx", "A 14704-2025")</f>
        <v/>
      </c>
    </row>
    <row r="32" ht="15" customHeight="1">
      <c r="A32" t="inlineStr">
        <is>
          <t>A 14713-2025</t>
        </is>
      </c>
      <c r="B32" s="1" t="n">
        <v>45742</v>
      </c>
      <c r="C32" s="1" t="n">
        <v>45792</v>
      </c>
      <c r="D32" t="inlineStr">
        <is>
          <t>JÖNKÖPINGS LÄN</t>
        </is>
      </c>
      <c r="E32" t="inlineStr">
        <is>
          <t>HABO</t>
        </is>
      </c>
      <c r="G32" t="n">
        <v>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Mellanlummer</t>
        </is>
      </c>
      <c r="S32">
        <f>HYPERLINK("https://klasma.github.io/Logging_060643/artfynd/A 14713-2025 artfynd.xlsx", "A 14713-2025")</f>
        <v/>
      </c>
      <c r="T32">
        <f>HYPERLINK("https://klasma.github.io/Logging_060643/kartor/A 14713-2025 karta.png", "A 14713-2025")</f>
        <v/>
      </c>
      <c r="V32">
        <f>HYPERLINK("https://klasma.github.io/Logging_060643/klagomål/A 14713-2025 FSC-klagomål.docx", "A 14713-2025")</f>
        <v/>
      </c>
      <c r="W32">
        <f>HYPERLINK("https://klasma.github.io/Logging_060643/klagomålsmail/A 14713-2025 FSC-klagomål mail.docx", "A 14713-2025")</f>
        <v/>
      </c>
      <c r="X32">
        <f>HYPERLINK("https://klasma.github.io/Logging_060643/tillsyn/A 14713-2025 tillsynsbegäran.docx", "A 14713-2025")</f>
        <v/>
      </c>
      <c r="Y32">
        <f>HYPERLINK("https://klasma.github.io/Logging_060643/tillsynsmail/A 14713-2025 tillsynsbegäran mail.docx", "A 14713-2025")</f>
        <v/>
      </c>
    </row>
    <row r="33" ht="15" customHeight="1">
      <c r="A33" t="inlineStr">
        <is>
          <t>A 19279-2019</t>
        </is>
      </c>
      <c r="B33" s="1" t="n">
        <v>43565</v>
      </c>
      <c r="C33" s="1" t="n">
        <v>45792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45792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45792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45792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45792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45792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45792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45792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45792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45792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45792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45792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45792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45792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45792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45792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45792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45792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45792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45792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45792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45792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45792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45792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45792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45792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45792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45792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45792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45792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45792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45792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45792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45792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45792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45792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45792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45792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45792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45792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45792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45792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45792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45792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45792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45792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45792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45792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45792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45792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45792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45792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45792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45792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45792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45792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45792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45792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45792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45792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45792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45792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45792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45792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45792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45792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45792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45792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45792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45792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45792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45792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45792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45792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45792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45792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45792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45792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45792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45792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45792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45792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45792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45792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45792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45792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45792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45792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45792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45792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45792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45792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45792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45792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45792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45792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45792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45792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45792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45792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45792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45792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45792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45792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45792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45792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45792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45792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45792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45792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45792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45792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45792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45792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45792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45792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45792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45792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45792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45792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45792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45792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45792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45792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45792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45792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45792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45792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45792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45792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45792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45792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45792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45792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45792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45792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45792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45792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45792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45792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45792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45792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45792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45792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45792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45792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45792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45792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45792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45792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45792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45792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45792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45792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45792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45792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45792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45792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45792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45792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45792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45792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45792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45792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45792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45792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45792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45792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45792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45792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45792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45792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45792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45792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45792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45792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45792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45792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45792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45792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45792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45792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45792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45792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45792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45792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45792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45792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45792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45792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45792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45792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45792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45792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45792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45792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45792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45792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45792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45792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45792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45792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45792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45792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45792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45792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45792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45792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45792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45792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45792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45792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45792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45792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45792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45792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45792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45792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45792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45792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45792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45792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56333-2023</t>
        </is>
      </c>
      <c r="B255" s="1" t="n">
        <v>45243</v>
      </c>
      <c r="C255" s="1" t="n">
        <v>45792</v>
      </c>
      <c r="D255" t="inlineStr">
        <is>
          <t>JÖNKÖPINGS LÄN</t>
        </is>
      </c>
      <c r="E255" t="inlineStr">
        <is>
          <t>HABO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57422-2023</t>
        </is>
      </c>
      <c r="B256" s="1" t="n">
        <v>45246</v>
      </c>
      <c r="C256" s="1" t="n">
        <v>45792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57755-2023</t>
        </is>
      </c>
      <c r="B257" s="1" t="n">
        <v>45246</v>
      </c>
      <c r="C257" s="1" t="n">
        <v>45792</v>
      </c>
      <c r="D257" t="inlineStr">
        <is>
          <t>JÖNKÖPINGS LÄN</t>
        </is>
      </c>
      <c r="E257" t="inlineStr">
        <is>
          <t>HABO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60227-2023</t>
        </is>
      </c>
      <c r="B258" s="1" t="n">
        <v>45258</v>
      </c>
      <c r="C258" s="1" t="n">
        <v>45792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62742-2023</t>
        </is>
      </c>
      <c r="B259" s="1" t="n">
        <v>45271</v>
      </c>
      <c r="C259" s="1" t="n">
        <v>45792</v>
      </c>
      <c r="D259" t="inlineStr">
        <is>
          <t>JÖNKÖPINGS LÄN</t>
        </is>
      </c>
      <c r="E259" t="inlineStr">
        <is>
          <t>HABO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62764-2023</t>
        </is>
      </c>
      <c r="B260" s="1" t="n">
        <v>45271</v>
      </c>
      <c r="C260" s="1" t="n">
        <v>45792</v>
      </c>
      <c r="D260" t="inlineStr">
        <is>
          <t>JÖNKÖPINGS LÄN</t>
        </is>
      </c>
      <c r="E260" t="inlineStr">
        <is>
          <t>HABO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62745-2023</t>
        </is>
      </c>
      <c r="B261" s="1" t="n">
        <v>45271</v>
      </c>
      <c r="C261" s="1" t="n">
        <v>45792</v>
      </c>
      <c r="D261" t="inlineStr">
        <is>
          <t>JÖNKÖPINGS LÄN</t>
        </is>
      </c>
      <c r="E261" t="inlineStr">
        <is>
          <t>HABO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63418-2023</t>
        </is>
      </c>
      <c r="B262" s="1" t="n">
        <v>45274</v>
      </c>
      <c r="C262" s="1" t="n">
        <v>45792</v>
      </c>
      <c r="D262" t="inlineStr">
        <is>
          <t>JÖNKÖPINGS LÄN</t>
        </is>
      </c>
      <c r="E262" t="inlineStr">
        <is>
          <t>HABO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63599-2023</t>
        </is>
      </c>
      <c r="B263" s="1" t="n">
        <v>45275</v>
      </c>
      <c r="C263" s="1" t="n">
        <v>45792</v>
      </c>
      <c r="D263" t="inlineStr">
        <is>
          <t>JÖNKÖPINGS LÄN</t>
        </is>
      </c>
      <c r="E263" t="inlineStr">
        <is>
          <t>HABO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63922-2023</t>
        </is>
      </c>
      <c r="B264" s="1" t="n">
        <v>45278</v>
      </c>
      <c r="C264" s="1" t="n">
        <v>45792</v>
      </c>
      <c r="D264" t="inlineStr">
        <is>
          <t>JÖNKÖPINGS LÄN</t>
        </is>
      </c>
      <c r="E264" t="inlineStr">
        <is>
          <t>HABO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65067-2023</t>
        </is>
      </c>
      <c r="B265" s="1" t="n">
        <v>45287</v>
      </c>
      <c r="C265" s="1" t="n">
        <v>45792</v>
      </c>
      <c r="D265" t="inlineStr">
        <is>
          <t>JÖNKÖPINGS LÄN</t>
        </is>
      </c>
      <c r="E265" t="inlineStr">
        <is>
          <t>HABO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476-2024</t>
        </is>
      </c>
      <c r="B266" s="1" t="n">
        <v>45297</v>
      </c>
      <c r="C266" s="1" t="n">
        <v>45792</v>
      </c>
      <c r="D266" t="inlineStr">
        <is>
          <t>JÖNKÖPINGS LÄN</t>
        </is>
      </c>
      <c r="E266" t="inlineStr">
        <is>
          <t>HABO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778-2024</t>
        </is>
      </c>
      <c r="B267" s="1" t="n">
        <v>45300</v>
      </c>
      <c r="C267" s="1" t="n">
        <v>45792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1539-2024</t>
        </is>
      </c>
      <c r="B268" s="1" t="n">
        <v>45306</v>
      </c>
      <c r="C268" s="1" t="n">
        <v>45792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45792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1699-2024</t>
        </is>
      </c>
      <c r="B270" s="1" t="n">
        <v>45307</v>
      </c>
      <c r="C270" s="1" t="n">
        <v>45792</v>
      </c>
      <c r="D270" t="inlineStr">
        <is>
          <t>JÖNKÖPINGS LÄN</t>
        </is>
      </c>
      <c r="E270" t="inlineStr">
        <is>
          <t>HABO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2374-2024</t>
        </is>
      </c>
      <c r="B271" s="1" t="n">
        <v>45310</v>
      </c>
      <c r="C271" s="1" t="n">
        <v>45792</v>
      </c>
      <c r="D271" t="inlineStr">
        <is>
          <t>JÖNKÖPINGS LÄN</t>
        </is>
      </c>
      <c r="E271" t="inlineStr">
        <is>
          <t>HABO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3077-2024</t>
        </is>
      </c>
      <c r="B272" s="1" t="n">
        <v>45316</v>
      </c>
      <c r="C272" s="1" t="n">
        <v>45792</v>
      </c>
      <c r="D272" t="inlineStr">
        <is>
          <t>JÖNKÖPINGS LÄN</t>
        </is>
      </c>
      <c r="E272" t="inlineStr">
        <is>
          <t>HABO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3913-2024</t>
        </is>
      </c>
      <c r="B273" s="1" t="n">
        <v>45322</v>
      </c>
      <c r="C273" s="1" t="n">
        <v>45792</v>
      </c>
      <c r="D273" t="inlineStr">
        <is>
          <t>JÖNKÖPINGS LÄN</t>
        </is>
      </c>
      <c r="E273" t="inlineStr">
        <is>
          <t>HABO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3969-2024</t>
        </is>
      </c>
      <c r="B274" s="1" t="n">
        <v>45322</v>
      </c>
      <c r="C274" s="1" t="n">
        <v>45792</v>
      </c>
      <c r="D274" t="inlineStr">
        <is>
          <t>JÖNKÖPINGS LÄN</t>
        </is>
      </c>
      <c r="E274" t="inlineStr">
        <is>
          <t>HABO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4836-2024</t>
        </is>
      </c>
      <c r="B275" s="1" t="n">
        <v>45329</v>
      </c>
      <c r="C275" s="1" t="n">
        <v>45792</v>
      </c>
      <c r="D275" t="inlineStr">
        <is>
          <t>JÖNKÖPINGS LÄN</t>
        </is>
      </c>
      <c r="E275" t="inlineStr">
        <is>
          <t>HABO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45792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8849-2024</t>
        </is>
      </c>
      <c r="B277" s="1" t="n">
        <v>45356</v>
      </c>
      <c r="C277" s="1" t="n">
        <v>45792</v>
      </c>
      <c r="D277" t="inlineStr">
        <is>
          <t>JÖNKÖPINGS LÄN</t>
        </is>
      </c>
      <c r="E277" t="inlineStr">
        <is>
          <t>HABO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9931-2024</t>
        </is>
      </c>
      <c r="B278" s="1" t="n">
        <v>45363</v>
      </c>
      <c r="C278" s="1" t="n">
        <v>45792</v>
      </c>
      <c r="D278" t="inlineStr">
        <is>
          <t>JÖNKÖPINGS LÄN</t>
        </is>
      </c>
      <c r="E278" t="inlineStr">
        <is>
          <t>HABO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10167-2024</t>
        </is>
      </c>
      <c r="B279" s="1" t="n">
        <v>45364</v>
      </c>
      <c r="C279" s="1" t="n">
        <v>45792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11426-2024</t>
        </is>
      </c>
      <c r="B280" s="1" t="n">
        <v>45372</v>
      </c>
      <c r="C280" s="1" t="n">
        <v>45792</v>
      </c>
      <c r="D280" t="inlineStr">
        <is>
          <t>JÖNKÖPINGS LÄN</t>
        </is>
      </c>
      <c r="E280" t="inlineStr">
        <is>
          <t>HABO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13850-2024</t>
        </is>
      </c>
      <c r="B281" s="1" t="n">
        <v>45390</v>
      </c>
      <c r="C281" s="1" t="n">
        <v>45792</v>
      </c>
      <c r="D281" t="inlineStr">
        <is>
          <t>JÖNKÖPINGS LÄN</t>
        </is>
      </c>
      <c r="E281" t="inlineStr">
        <is>
          <t>HABO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14724-2024</t>
        </is>
      </c>
      <c r="B282" s="1" t="n">
        <v>45397</v>
      </c>
      <c r="C282" s="1" t="n">
        <v>45792</v>
      </c>
      <c r="D282" t="inlineStr">
        <is>
          <t>JÖNKÖPINGS LÄN</t>
        </is>
      </c>
      <c r="E282" t="inlineStr">
        <is>
          <t>HABO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15238-2024</t>
        </is>
      </c>
      <c r="B283" s="1" t="n">
        <v>45400</v>
      </c>
      <c r="C283" s="1" t="n">
        <v>45792</v>
      </c>
      <c r="D283" t="inlineStr">
        <is>
          <t>JÖNKÖPINGS LÄN</t>
        </is>
      </c>
      <c r="E283" t="inlineStr">
        <is>
          <t>HABO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15234-2024</t>
        </is>
      </c>
      <c r="B284" s="1" t="n">
        <v>45400</v>
      </c>
      <c r="C284" s="1" t="n">
        <v>45792</v>
      </c>
      <c r="D284" t="inlineStr">
        <is>
          <t>JÖNKÖPINGS LÄN</t>
        </is>
      </c>
      <c r="E284" t="inlineStr">
        <is>
          <t>HABO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15251-2024</t>
        </is>
      </c>
      <c r="B285" s="1" t="n">
        <v>45400</v>
      </c>
      <c r="C285" s="1" t="n">
        <v>45792</v>
      </c>
      <c r="D285" t="inlineStr">
        <is>
          <t>JÖNKÖPINGS LÄN</t>
        </is>
      </c>
      <c r="E285" t="inlineStr">
        <is>
          <t>HABO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15252-2024</t>
        </is>
      </c>
      <c r="B286" s="1" t="n">
        <v>45400</v>
      </c>
      <c r="C286" s="1" t="n">
        <v>45792</v>
      </c>
      <c r="D286" t="inlineStr">
        <is>
          <t>JÖNKÖPINGS LÄN</t>
        </is>
      </c>
      <c r="E286" t="inlineStr">
        <is>
          <t>HABO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15272-2024</t>
        </is>
      </c>
      <c r="B287" s="1" t="n">
        <v>45400</v>
      </c>
      <c r="C287" s="1" t="n">
        <v>45792</v>
      </c>
      <c r="D287" t="inlineStr">
        <is>
          <t>JÖNKÖPINGS LÄN</t>
        </is>
      </c>
      <c r="E287" t="inlineStr">
        <is>
          <t>HABO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15901-2024</t>
        </is>
      </c>
      <c r="B288" s="1" t="n">
        <v>45405</v>
      </c>
      <c r="C288" s="1" t="n">
        <v>45792</v>
      </c>
      <c r="D288" t="inlineStr">
        <is>
          <t>JÖNKÖPINGS LÄN</t>
        </is>
      </c>
      <c r="E288" t="inlineStr">
        <is>
          <t>HABO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16108-2024</t>
        </is>
      </c>
      <c r="B289" s="1" t="n">
        <v>45406</v>
      </c>
      <c r="C289" s="1" t="n">
        <v>45792</v>
      </c>
      <c r="D289" t="inlineStr">
        <is>
          <t>JÖNKÖPINGS LÄN</t>
        </is>
      </c>
      <c r="E289" t="inlineStr">
        <is>
          <t>HABO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17845-2024</t>
        </is>
      </c>
      <c r="B290" s="1" t="n">
        <v>45419</v>
      </c>
      <c r="C290" s="1" t="n">
        <v>45792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19366-2024</t>
        </is>
      </c>
      <c r="B291" s="1" t="n">
        <v>45429</v>
      </c>
      <c r="C291" s="1" t="n">
        <v>45792</v>
      </c>
      <c r="D291" t="inlineStr">
        <is>
          <t>JÖNKÖPINGS LÄN</t>
        </is>
      </c>
      <c r="E291" t="inlineStr">
        <is>
          <t>HABO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19370-2024</t>
        </is>
      </c>
      <c r="B292" s="1" t="n">
        <v>45429</v>
      </c>
      <c r="C292" s="1" t="n">
        <v>45792</v>
      </c>
      <c r="D292" t="inlineStr">
        <is>
          <t>JÖNKÖPINGS LÄN</t>
        </is>
      </c>
      <c r="E292" t="inlineStr">
        <is>
          <t>HABO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21301-2024</t>
        </is>
      </c>
      <c r="B293" s="1" t="n">
        <v>45440</v>
      </c>
      <c r="C293" s="1" t="n">
        <v>45792</v>
      </c>
      <c r="D293" t="inlineStr">
        <is>
          <t>JÖNKÖPINGS LÄN</t>
        </is>
      </c>
      <c r="E293" t="inlineStr">
        <is>
          <t>HABO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23145-2024</t>
        </is>
      </c>
      <c r="B294" s="1" t="n">
        <v>45450</v>
      </c>
      <c r="C294" s="1" t="n">
        <v>45792</v>
      </c>
      <c r="D294" t="inlineStr">
        <is>
          <t>JÖNKÖPINGS LÄN</t>
        </is>
      </c>
      <c r="E294" t="inlineStr">
        <is>
          <t>HABO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23153-2024</t>
        </is>
      </c>
      <c r="B295" s="1" t="n">
        <v>45450</v>
      </c>
      <c r="C295" s="1" t="n">
        <v>45792</v>
      </c>
      <c r="D295" t="inlineStr">
        <is>
          <t>JÖNKÖPINGS LÄN</t>
        </is>
      </c>
      <c r="E295" t="inlineStr">
        <is>
          <t>HABO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23148-2024</t>
        </is>
      </c>
      <c r="B296" s="1" t="n">
        <v>45450</v>
      </c>
      <c r="C296" s="1" t="n">
        <v>45792</v>
      </c>
      <c r="D296" t="inlineStr">
        <is>
          <t>JÖNKÖPINGS LÄN</t>
        </is>
      </c>
      <c r="E296" t="inlineStr">
        <is>
          <t>HABO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23152-2024</t>
        </is>
      </c>
      <c r="B297" s="1" t="n">
        <v>45450</v>
      </c>
      <c r="C297" s="1" t="n">
        <v>45792</v>
      </c>
      <c r="D297" t="inlineStr">
        <is>
          <t>JÖNKÖPINGS LÄN</t>
        </is>
      </c>
      <c r="E297" t="inlineStr">
        <is>
          <t>HABO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23156-2024</t>
        </is>
      </c>
      <c r="B298" s="1" t="n">
        <v>45450</v>
      </c>
      <c r="C298" s="1" t="n">
        <v>45792</v>
      </c>
      <c r="D298" t="inlineStr">
        <is>
          <t>JÖNKÖPINGS LÄN</t>
        </is>
      </c>
      <c r="E298" t="inlineStr">
        <is>
          <t>HABO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23143-2024</t>
        </is>
      </c>
      <c r="B299" s="1" t="n">
        <v>45450</v>
      </c>
      <c r="C299" s="1" t="n">
        <v>45792</v>
      </c>
      <c r="D299" t="inlineStr">
        <is>
          <t>JÖNKÖPINGS LÄN</t>
        </is>
      </c>
      <c r="E299" t="inlineStr">
        <is>
          <t>HABO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24496-2024</t>
        </is>
      </c>
      <c r="B300" s="1" t="n">
        <v>45459</v>
      </c>
      <c r="C300" s="1" t="n">
        <v>45792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24495-2024</t>
        </is>
      </c>
      <c r="B301" s="1" t="n">
        <v>45459</v>
      </c>
      <c r="C301" s="1" t="n">
        <v>45792</v>
      </c>
      <c r="D301" t="inlineStr">
        <is>
          <t>JÖNKÖPINGS LÄN</t>
        </is>
      </c>
      <c r="E301" t="inlineStr">
        <is>
          <t>HABO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25954-2024</t>
        </is>
      </c>
      <c r="B302" s="1" t="n">
        <v>45467</v>
      </c>
      <c r="C302" s="1" t="n">
        <v>45792</v>
      </c>
      <c r="D302" t="inlineStr">
        <is>
          <t>JÖNKÖPINGS LÄN</t>
        </is>
      </c>
      <c r="E302" t="inlineStr">
        <is>
          <t>HABO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26275-2024</t>
        </is>
      </c>
      <c r="B303" s="1" t="n">
        <v>45468</v>
      </c>
      <c r="C303" s="1" t="n">
        <v>45792</v>
      </c>
      <c r="D303" t="inlineStr">
        <is>
          <t>JÖNKÖPINGS LÄN</t>
        </is>
      </c>
      <c r="E303" t="inlineStr">
        <is>
          <t>HABO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26329-2024</t>
        </is>
      </c>
      <c r="B304" s="1" t="n">
        <v>45469</v>
      </c>
      <c r="C304" s="1" t="n">
        <v>45792</v>
      </c>
      <c r="D304" t="inlineStr">
        <is>
          <t>JÖNKÖPINGS LÄN</t>
        </is>
      </c>
      <c r="E304" t="inlineStr">
        <is>
          <t>HABO</t>
        </is>
      </c>
      <c r="F304" t="inlineStr">
        <is>
          <t>Sveaskog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26569-2024</t>
        </is>
      </c>
      <c r="B305" s="1" t="n">
        <v>45469</v>
      </c>
      <c r="C305" s="1" t="n">
        <v>45792</v>
      </c>
      <c r="D305" t="inlineStr">
        <is>
          <t>JÖNKÖPINGS LÄN</t>
        </is>
      </c>
      <c r="E305" t="inlineStr">
        <is>
          <t>HABO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26778-2024</t>
        </is>
      </c>
      <c r="B306" s="1" t="n">
        <v>45469</v>
      </c>
      <c r="C306" s="1" t="n">
        <v>45792</v>
      </c>
      <c r="D306" t="inlineStr">
        <is>
          <t>JÖNKÖPINGS LÄN</t>
        </is>
      </c>
      <c r="E306" t="inlineStr">
        <is>
          <t>HABO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26774-2024</t>
        </is>
      </c>
      <c r="B307" s="1" t="n">
        <v>45469</v>
      </c>
      <c r="C307" s="1" t="n">
        <v>45792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26769-2024</t>
        </is>
      </c>
      <c r="B308" s="1" t="n">
        <v>45469</v>
      </c>
      <c r="C308" s="1" t="n">
        <v>45792</v>
      </c>
      <c r="D308" t="inlineStr">
        <is>
          <t>JÖNKÖPINGS LÄN</t>
        </is>
      </c>
      <c r="E308" t="inlineStr">
        <is>
          <t>HABO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26572-2024</t>
        </is>
      </c>
      <c r="B309" s="1" t="n">
        <v>45469</v>
      </c>
      <c r="C309" s="1" t="n">
        <v>45792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26766-2024</t>
        </is>
      </c>
      <c r="B310" s="1" t="n">
        <v>45469</v>
      </c>
      <c r="C310" s="1" t="n">
        <v>45792</v>
      </c>
      <c r="D310" t="inlineStr">
        <is>
          <t>JÖNKÖPINGS LÄN</t>
        </is>
      </c>
      <c r="E310" t="inlineStr">
        <is>
          <t>HABO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26711-2024</t>
        </is>
      </c>
      <c r="B311" s="1" t="n">
        <v>45470</v>
      </c>
      <c r="C311" s="1" t="n">
        <v>45792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27196-2024</t>
        </is>
      </c>
      <c r="B312" s="1" t="n">
        <v>45471</v>
      </c>
      <c r="C312" s="1" t="n">
        <v>45792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27385-2024</t>
        </is>
      </c>
      <c r="B313" s="1" t="n">
        <v>45474</v>
      </c>
      <c r="C313" s="1" t="n">
        <v>45792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27386-2024</t>
        </is>
      </c>
      <c r="B314" s="1" t="n">
        <v>45474</v>
      </c>
      <c r="C314" s="1" t="n">
        <v>45792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27794-2024</t>
        </is>
      </c>
      <c r="B315" s="1" t="n">
        <v>45475</v>
      </c>
      <c r="C315" s="1" t="n">
        <v>45792</v>
      </c>
      <c r="D315" t="inlineStr">
        <is>
          <t>JÖNKÖPINGS LÄN</t>
        </is>
      </c>
      <c r="E315" t="inlineStr">
        <is>
          <t>HABO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27796-2024</t>
        </is>
      </c>
      <c r="B316" s="1" t="n">
        <v>45475</v>
      </c>
      <c r="C316" s="1" t="n">
        <v>45792</v>
      </c>
      <c r="D316" t="inlineStr">
        <is>
          <t>JÖNKÖPINGS LÄN</t>
        </is>
      </c>
      <c r="E316" t="inlineStr">
        <is>
          <t>HABO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27791-2024</t>
        </is>
      </c>
      <c r="B317" s="1" t="n">
        <v>45475</v>
      </c>
      <c r="C317" s="1" t="n">
        <v>45792</v>
      </c>
      <c r="D317" t="inlineStr">
        <is>
          <t>JÖNKÖPINGS LÄN</t>
        </is>
      </c>
      <c r="E317" t="inlineStr">
        <is>
          <t>HABO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27795-2024</t>
        </is>
      </c>
      <c r="B318" s="1" t="n">
        <v>45475</v>
      </c>
      <c r="C318" s="1" t="n">
        <v>45792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28096-2024</t>
        </is>
      </c>
      <c r="B319" s="1" t="n">
        <v>45476</v>
      </c>
      <c r="C319" s="1" t="n">
        <v>45792</v>
      </c>
      <c r="D319" t="inlineStr">
        <is>
          <t>JÖNKÖPINGS LÄN</t>
        </is>
      </c>
      <c r="E319" t="inlineStr">
        <is>
          <t>HABO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28685-2024</t>
        </is>
      </c>
      <c r="B320" s="1" t="n">
        <v>45478</v>
      </c>
      <c r="C320" s="1" t="n">
        <v>45792</v>
      </c>
      <c r="D320" t="inlineStr">
        <is>
          <t>JÖNKÖPINGS LÄN</t>
        </is>
      </c>
      <c r="E320" t="inlineStr">
        <is>
          <t>HABO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28690-2024</t>
        </is>
      </c>
      <c r="B321" s="1" t="n">
        <v>45478</v>
      </c>
      <c r="C321" s="1" t="n">
        <v>45792</v>
      </c>
      <c r="D321" t="inlineStr">
        <is>
          <t>JÖNKÖPINGS LÄN</t>
        </is>
      </c>
      <c r="E321" t="inlineStr">
        <is>
          <t>HABO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31909-2024</t>
        </is>
      </c>
      <c r="B322" s="1" t="n">
        <v>45510</v>
      </c>
      <c r="C322" s="1" t="n">
        <v>45792</v>
      </c>
      <c r="D322" t="inlineStr">
        <is>
          <t>JÖNKÖPINGS LÄN</t>
        </is>
      </c>
      <c r="E322" t="inlineStr">
        <is>
          <t>HABO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32895-2024</t>
        </is>
      </c>
      <c r="B323" s="1" t="n">
        <v>45516</v>
      </c>
      <c r="C323" s="1" t="n">
        <v>45792</v>
      </c>
      <c r="D323" t="inlineStr">
        <is>
          <t>JÖNKÖPINGS LÄN</t>
        </is>
      </c>
      <c r="E323" t="inlineStr">
        <is>
          <t>HABO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37799-2024</t>
        </is>
      </c>
      <c r="B324" s="1" t="n">
        <v>45543</v>
      </c>
      <c r="C324" s="1" t="n">
        <v>45792</v>
      </c>
      <c r="D324" t="inlineStr">
        <is>
          <t>JÖNKÖPINGS LÄN</t>
        </is>
      </c>
      <c r="E324" t="inlineStr">
        <is>
          <t>HABO</t>
        </is>
      </c>
      <c r="G324" t="n">
        <v>7.9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37802-2024</t>
        </is>
      </c>
      <c r="B325" s="1" t="n">
        <v>45543</v>
      </c>
      <c r="C325" s="1" t="n">
        <v>45792</v>
      </c>
      <c r="D325" t="inlineStr">
        <is>
          <t>JÖNKÖPINGS LÄN</t>
        </is>
      </c>
      <c r="E325" t="inlineStr">
        <is>
          <t>HABO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39774-2024</t>
        </is>
      </c>
      <c r="B326" s="1" t="n">
        <v>45552</v>
      </c>
      <c r="C326" s="1" t="n">
        <v>45792</v>
      </c>
      <c r="D326" t="inlineStr">
        <is>
          <t>JÖNKÖPINGS LÄN</t>
        </is>
      </c>
      <c r="E326" t="inlineStr">
        <is>
          <t>HABO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40280-2024</t>
        </is>
      </c>
      <c r="B327" s="1" t="n">
        <v>45554</v>
      </c>
      <c r="C327" s="1" t="n">
        <v>45792</v>
      </c>
      <c r="D327" t="inlineStr">
        <is>
          <t>JÖNKÖPINGS LÄN</t>
        </is>
      </c>
      <c r="E327" t="inlineStr">
        <is>
          <t>HABO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40285-2024</t>
        </is>
      </c>
      <c r="B328" s="1" t="n">
        <v>45554</v>
      </c>
      <c r="C328" s="1" t="n">
        <v>45792</v>
      </c>
      <c r="D328" t="inlineStr">
        <is>
          <t>JÖNKÖPINGS LÄN</t>
        </is>
      </c>
      <c r="E328" t="inlineStr">
        <is>
          <t>HABO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40529-2024</t>
        </is>
      </c>
      <c r="B329" s="1" t="n">
        <v>45555</v>
      </c>
      <c r="C329" s="1" t="n">
        <v>45792</v>
      </c>
      <c r="D329" t="inlineStr">
        <is>
          <t>JÖNKÖPINGS LÄN</t>
        </is>
      </c>
      <c r="E329" t="inlineStr">
        <is>
          <t>HABO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40438-2024</t>
        </is>
      </c>
      <c r="B330" s="1" t="n">
        <v>45555</v>
      </c>
      <c r="C330" s="1" t="n">
        <v>45792</v>
      </c>
      <c r="D330" t="inlineStr">
        <is>
          <t>JÖNKÖPINGS LÄN</t>
        </is>
      </c>
      <c r="E330" t="inlineStr">
        <is>
          <t>HABO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40638-2024</t>
        </is>
      </c>
      <c r="B331" s="1" t="n">
        <v>45558</v>
      </c>
      <c r="C331" s="1" t="n">
        <v>45792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40688-2024</t>
        </is>
      </c>
      <c r="B332" s="1" t="n">
        <v>45558</v>
      </c>
      <c r="C332" s="1" t="n">
        <v>45792</v>
      </c>
      <c r="D332" t="inlineStr">
        <is>
          <t>JÖNKÖPINGS LÄN</t>
        </is>
      </c>
      <c r="E332" t="inlineStr">
        <is>
          <t>HABO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41622-2024</t>
        </is>
      </c>
      <c r="B333" s="1" t="n">
        <v>45560</v>
      </c>
      <c r="C333" s="1" t="n">
        <v>45792</v>
      </c>
      <c r="D333" t="inlineStr">
        <is>
          <t>JÖNKÖPINGS LÄN</t>
        </is>
      </c>
      <c r="E333" t="inlineStr">
        <is>
          <t>HABO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45275-2024</t>
        </is>
      </c>
      <c r="B334" s="1" t="n">
        <v>45576</v>
      </c>
      <c r="C334" s="1" t="n">
        <v>45792</v>
      </c>
      <c r="D334" t="inlineStr">
        <is>
          <t>JÖNKÖPINGS LÄN</t>
        </is>
      </c>
      <c r="E334" t="inlineStr">
        <is>
          <t>HABO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45277-2024</t>
        </is>
      </c>
      <c r="B335" s="1" t="n">
        <v>45576</v>
      </c>
      <c r="C335" s="1" t="n">
        <v>45792</v>
      </c>
      <c r="D335" t="inlineStr">
        <is>
          <t>JÖNKÖPINGS LÄN</t>
        </is>
      </c>
      <c r="E335" t="inlineStr">
        <is>
          <t>HABO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46062-2024</t>
        </is>
      </c>
      <c r="B336" s="1" t="n">
        <v>45581</v>
      </c>
      <c r="C336" s="1" t="n">
        <v>45792</v>
      </c>
      <c r="D336" t="inlineStr">
        <is>
          <t>JÖNKÖPINGS LÄN</t>
        </is>
      </c>
      <c r="E336" t="inlineStr">
        <is>
          <t>HABO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47892-2024</t>
        </is>
      </c>
      <c r="B337" s="1" t="n">
        <v>45588</v>
      </c>
      <c r="C337" s="1" t="n">
        <v>45792</v>
      </c>
      <c r="D337" t="inlineStr">
        <is>
          <t>JÖNKÖPINGS LÄN</t>
        </is>
      </c>
      <c r="E337" t="inlineStr">
        <is>
          <t>HABO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48894-2024</t>
        </is>
      </c>
      <c r="B338" s="1" t="n">
        <v>45594</v>
      </c>
      <c r="C338" s="1" t="n">
        <v>45792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48893-2024</t>
        </is>
      </c>
      <c r="B339" s="1" t="n">
        <v>45594</v>
      </c>
      <c r="C339" s="1" t="n">
        <v>45792</v>
      </c>
      <c r="D339" t="inlineStr">
        <is>
          <t>JÖNKÖPINGS LÄN</t>
        </is>
      </c>
      <c r="E339" t="inlineStr">
        <is>
          <t>HABO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49433-2024</t>
        </is>
      </c>
      <c r="B340" s="1" t="n">
        <v>45595</v>
      </c>
      <c r="C340" s="1" t="n">
        <v>45792</v>
      </c>
      <c r="D340" t="inlineStr">
        <is>
          <t>JÖNKÖPINGS LÄN</t>
        </is>
      </c>
      <c r="E340" t="inlineStr">
        <is>
          <t>HABO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49326-2024</t>
        </is>
      </c>
      <c r="B341" s="1" t="n">
        <v>45595</v>
      </c>
      <c r="C341" s="1" t="n">
        <v>45792</v>
      </c>
      <c r="D341" t="inlineStr">
        <is>
          <t>JÖNKÖPINGS LÄN</t>
        </is>
      </c>
      <c r="E341" t="inlineStr">
        <is>
          <t>HABO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49446-2024</t>
        </is>
      </c>
      <c r="B342" s="1" t="n">
        <v>45595</v>
      </c>
      <c r="C342" s="1" t="n">
        <v>45792</v>
      </c>
      <c r="D342" t="inlineStr">
        <is>
          <t>JÖNKÖPINGS LÄN</t>
        </is>
      </c>
      <c r="E342" t="inlineStr">
        <is>
          <t>HABO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49328-2024</t>
        </is>
      </c>
      <c r="B343" s="1" t="n">
        <v>45595</v>
      </c>
      <c r="C343" s="1" t="n">
        <v>45792</v>
      </c>
      <c r="D343" t="inlineStr">
        <is>
          <t>JÖNKÖPINGS LÄN</t>
        </is>
      </c>
      <c r="E343" t="inlineStr">
        <is>
          <t>HABO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49449-2024</t>
        </is>
      </c>
      <c r="B344" s="1" t="n">
        <v>45596</v>
      </c>
      <c r="C344" s="1" t="n">
        <v>45792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49447-2024</t>
        </is>
      </c>
      <c r="B345" s="1" t="n">
        <v>45596</v>
      </c>
      <c r="C345" s="1" t="n">
        <v>45792</v>
      </c>
      <c r="D345" t="inlineStr">
        <is>
          <t>JÖNKÖPINGS LÄN</t>
        </is>
      </c>
      <c r="E345" t="inlineStr">
        <is>
          <t>HABO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49448-2024</t>
        </is>
      </c>
      <c r="B346" s="1" t="n">
        <v>45596</v>
      </c>
      <c r="C346" s="1" t="n">
        <v>45792</v>
      </c>
      <c r="D346" t="inlineStr">
        <is>
          <t>JÖNKÖPINGS LÄN</t>
        </is>
      </c>
      <c r="E346" t="inlineStr">
        <is>
          <t>HABO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49846-2024</t>
        </is>
      </c>
      <c r="B347" s="1" t="n">
        <v>45597</v>
      </c>
      <c r="C347" s="1" t="n">
        <v>45792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49849-2024</t>
        </is>
      </c>
      <c r="B348" s="1" t="n">
        <v>45597</v>
      </c>
      <c r="C348" s="1" t="n">
        <v>45792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49855-2024</t>
        </is>
      </c>
      <c r="B349" s="1" t="n">
        <v>45597</v>
      </c>
      <c r="C349" s="1" t="n">
        <v>45792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49754-2024</t>
        </is>
      </c>
      <c r="B350" s="1" t="n">
        <v>45597</v>
      </c>
      <c r="C350" s="1" t="n">
        <v>45792</v>
      </c>
      <c r="D350" t="inlineStr">
        <is>
          <t>JÖNKÖPINGS LÄN</t>
        </is>
      </c>
      <c r="E350" t="inlineStr">
        <is>
          <t>HABO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50644-2024</t>
        </is>
      </c>
      <c r="B351" s="1" t="n">
        <v>45601</v>
      </c>
      <c r="C351" s="1" t="n">
        <v>45792</v>
      </c>
      <c r="D351" t="inlineStr">
        <is>
          <t>JÖNKÖPINGS LÄN</t>
        </is>
      </c>
      <c r="E351" t="inlineStr">
        <is>
          <t>HABO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50804-2024</t>
        </is>
      </c>
      <c r="B352" s="1" t="n">
        <v>45602</v>
      </c>
      <c r="C352" s="1" t="n">
        <v>45792</v>
      </c>
      <c r="D352" t="inlineStr">
        <is>
          <t>JÖNKÖPINGS LÄN</t>
        </is>
      </c>
      <c r="E352" t="inlineStr">
        <is>
          <t>HABO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51016-2024</t>
        </is>
      </c>
      <c r="B353" s="1" t="n">
        <v>45603</v>
      </c>
      <c r="C353" s="1" t="n">
        <v>45792</v>
      </c>
      <c r="D353" t="inlineStr">
        <is>
          <t>JÖNKÖPINGS LÄN</t>
        </is>
      </c>
      <c r="E353" t="inlineStr">
        <is>
          <t>HABO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50956-2024</t>
        </is>
      </c>
      <c r="B354" s="1" t="n">
        <v>45603</v>
      </c>
      <c r="C354" s="1" t="n">
        <v>45792</v>
      </c>
      <c r="D354" t="inlineStr">
        <is>
          <t>JÖNKÖPINGS LÄN</t>
        </is>
      </c>
      <c r="E354" t="inlineStr">
        <is>
          <t>HABO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52055-2024</t>
        </is>
      </c>
      <c r="B355" s="1" t="n">
        <v>45608</v>
      </c>
      <c r="C355" s="1" t="n">
        <v>45792</v>
      </c>
      <c r="D355" t="inlineStr">
        <is>
          <t>JÖNKÖPINGS LÄN</t>
        </is>
      </c>
      <c r="E355" t="inlineStr">
        <is>
          <t>HABO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54270-2024</t>
        </is>
      </c>
      <c r="B356" s="1" t="n">
        <v>45616</v>
      </c>
      <c r="C356" s="1" t="n">
        <v>45792</v>
      </c>
      <c r="D356" t="inlineStr">
        <is>
          <t>JÖNKÖPINGS LÄN</t>
        </is>
      </c>
      <c r="E356" t="inlineStr">
        <is>
          <t>HABO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54288-2024</t>
        </is>
      </c>
      <c r="B357" s="1" t="n">
        <v>45617</v>
      </c>
      <c r="C357" s="1" t="n">
        <v>45792</v>
      </c>
      <c r="D357" t="inlineStr">
        <is>
          <t>JÖNKÖPINGS LÄN</t>
        </is>
      </c>
      <c r="E357" t="inlineStr">
        <is>
          <t>HABO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54988-2024</t>
        </is>
      </c>
      <c r="B358" s="1" t="n">
        <v>45620</v>
      </c>
      <c r="C358" s="1" t="n">
        <v>45792</v>
      </c>
      <c r="D358" t="inlineStr">
        <is>
          <t>JÖNKÖPINGS LÄN</t>
        </is>
      </c>
      <c r="E358" t="inlineStr">
        <is>
          <t>HABO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54987-2024</t>
        </is>
      </c>
      <c r="B359" s="1" t="n">
        <v>45620</v>
      </c>
      <c r="C359" s="1" t="n">
        <v>45792</v>
      </c>
      <c r="D359" t="inlineStr">
        <is>
          <t>JÖNKÖPINGS LÄN</t>
        </is>
      </c>
      <c r="E359" t="inlineStr">
        <is>
          <t>HABO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54990-2024</t>
        </is>
      </c>
      <c r="B360" s="1" t="n">
        <v>45620</v>
      </c>
      <c r="C360" s="1" t="n">
        <v>45792</v>
      </c>
      <c r="D360" t="inlineStr">
        <is>
          <t>JÖNKÖPINGS LÄN</t>
        </is>
      </c>
      <c r="E360" t="inlineStr">
        <is>
          <t>HABO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54986-2024</t>
        </is>
      </c>
      <c r="B361" s="1" t="n">
        <v>45620</v>
      </c>
      <c r="C361" s="1" t="n">
        <v>45792</v>
      </c>
      <c r="D361" t="inlineStr">
        <is>
          <t>JÖNKÖPINGS LÄN</t>
        </is>
      </c>
      <c r="E361" t="inlineStr">
        <is>
          <t>HABO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54985-2024</t>
        </is>
      </c>
      <c r="B362" s="1" t="n">
        <v>45620</v>
      </c>
      <c r="C362" s="1" t="n">
        <v>45792</v>
      </c>
      <c r="D362" t="inlineStr">
        <is>
          <t>JÖNKÖPINGS LÄN</t>
        </is>
      </c>
      <c r="E362" t="inlineStr">
        <is>
          <t>HABO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54989-2024</t>
        </is>
      </c>
      <c r="B363" s="1" t="n">
        <v>45620</v>
      </c>
      <c r="C363" s="1" t="n">
        <v>45792</v>
      </c>
      <c r="D363" t="inlineStr">
        <is>
          <t>JÖNKÖPINGS LÄN</t>
        </is>
      </c>
      <c r="E363" t="inlineStr">
        <is>
          <t>HABO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55370-2024</t>
        </is>
      </c>
      <c r="B364" s="1" t="n">
        <v>45621</v>
      </c>
      <c r="C364" s="1" t="n">
        <v>45792</v>
      </c>
      <c r="D364" t="inlineStr">
        <is>
          <t>JÖNKÖPINGS LÄN</t>
        </is>
      </c>
      <c r="E364" t="inlineStr">
        <is>
          <t>HABO</t>
        </is>
      </c>
      <c r="G364" t="n">
        <v>11.5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55374-2024</t>
        </is>
      </c>
      <c r="B365" s="1" t="n">
        <v>45621</v>
      </c>
      <c r="C365" s="1" t="n">
        <v>45792</v>
      </c>
      <c r="D365" t="inlineStr">
        <is>
          <t>JÖNKÖPINGS LÄN</t>
        </is>
      </c>
      <c r="E365" t="inlineStr">
        <is>
          <t>HABO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55375-2024</t>
        </is>
      </c>
      <c r="B366" s="1" t="n">
        <v>45621</v>
      </c>
      <c r="C366" s="1" t="n">
        <v>45792</v>
      </c>
      <c r="D366" t="inlineStr">
        <is>
          <t>JÖNKÖPINGS LÄN</t>
        </is>
      </c>
      <c r="E366" t="inlineStr">
        <is>
          <t>HABO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55369-2024</t>
        </is>
      </c>
      <c r="B367" s="1" t="n">
        <v>45621</v>
      </c>
      <c r="C367" s="1" t="n">
        <v>45792</v>
      </c>
      <c r="D367" t="inlineStr">
        <is>
          <t>JÖNKÖPINGS LÄN</t>
        </is>
      </c>
      <c r="E367" t="inlineStr">
        <is>
          <t>HABO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55373-2024</t>
        </is>
      </c>
      <c r="B368" s="1" t="n">
        <v>45621</v>
      </c>
      <c r="C368" s="1" t="n">
        <v>45792</v>
      </c>
      <c r="D368" t="inlineStr">
        <is>
          <t>JÖNKÖPINGS LÄN</t>
        </is>
      </c>
      <c r="E368" t="inlineStr">
        <is>
          <t>HABO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55368-2024</t>
        </is>
      </c>
      <c r="B369" s="1" t="n">
        <v>45621</v>
      </c>
      <c r="C369" s="1" t="n">
        <v>45792</v>
      </c>
      <c r="D369" t="inlineStr">
        <is>
          <t>JÖNKÖPINGS LÄN</t>
        </is>
      </c>
      <c r="E369" t="inlineStr">
        <is>
          <t>HABO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55372-2024</t>
        </is>
      </c>
      <c r="B370" s="1" t="n">
        <v>45621</v>
      </c>
      <c r="C370" s="1" t="n">
        <v>45792</v>
      </c>
      <c r="D370" t="inlineStr">
        <is>
          <t>JÖNKÖPINGS LÄN</t>
        </is>
      </c>
      <c r="E370" t="inlineStr">
        <is>
          <t>HABO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55376-2024</t>
        </is>
      </c>
      <c r="B371" s="1" t="n">
        <v>45621</v>
      </c>
      <c r="C371" s="1" t="n">
        <v>45792</v>
      </c>
      <c r="D371" t="inlineStr">
        <is>
          <t>JÖNKÖPINGS LÄN</t>
        </is>
      </c>
      <c r="E371" t="inlineStr">
        <is>
          <t>HABO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58001-2024</t>
        </is>
      </c>
      <c r="B372" s="1" t="n">
        <v>45631</v>
      </c>
      <c r="C372" s="1" t="n">
        <v>45792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57999-2024</t>
        </is>
      </c>
      <c r="B373" s="1" t="n">
        <v>45631</v>
      </c>
      <c r="C373" s="1" t="n">
        <v>45792</v>
      </c>
      <c r="D373" t="inlineStr">
        <is>
          <t>JÖNKÖPINGS LÄN</t>
        </is>
      </c>
      <c r="E373" t="inlineStr">
        <is>
          <t>HABO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57911-2024</t>
        </is>
      </c>
      <c r="B374" s="1" t="n">
        <v>45631</v>
      </c>
      <c r="C374" s="1" t="n">
        <v>45792</v>
      </c>
      <c r="D374" t="inlineStr">
        <is>
          <t>JÖNKÖPINGS LÄN</t>
        </is>
      </c>
      <c r="E374" t="inlineStr">
        <is>
          <t>HABO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58666-2024</t>
        </is>
      </c>
      <c r="B375" s="1" t="n">
        <v>45635</v>
      </c>
      <c r="C375" s="1" t="n">
        <v>45792</v>
      </c>
      <c r="D375" t="inlineStr">
        <is>
          <t>JÖNKÖPINGS LÄN</t>
        </is>
      </c>
      <c r="E375" t="inlineStr">
        <is>
          <t>HABO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58665-2024</t>
        </is>
      </c>
      <c r="B376" s="1" t="n">
        <v>45635</v>
      </c>
      <c r="C376" s="1" t="n">
        <v>45792</v>
      </c>
      <c r="D376" t="inlineStr">
        <is>
          <t>JÖNKÖPINGS LÄN</t>
        </is>
      </c>
      <c r="E376" t="inlineStr">
        <is>
          <t>HABO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58673-2024</t>
        </is>
      </c>
      <c r="B377" s="1" t="n">
        <v>45635</v>
      </c>
      <c r="C377" s="1" t="n">
        <v>45792</v>
      </c>
      <c r="D377" t="inlineStr">
        <is>
          <t>JÖNKÖPINGS LÄN</t>
        </is>
      </c>
      <c r="E377" t="inlineStr">
        <is>
          <t>HABO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58677-2024</t>
        </is>
      </c>
      <c r="B378" s="1" t="n">
        <v>45635</v>
      </c>
      <c r="C378" s="1" t="n">
        <v>45792</v>
      </c>
      <c r="D378" t="inlineStr">
        <is>
          <t>JÖNKÖPINGS LÄN</t>
        </is>
      </c>
      <c r="E378" t="inlineStr">
        <is>
          <t>HABO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58668-2024</t>
        </is>
      </c>
      <c r="B379" s="1" t="n">
        <v>45635</v>
      </c>
      <c r="C379" s="1" t="n">
        <v>45792</v>
      </c>
      <c r="D379" t="inlineStr">
        <is>
          <t>JÖNKÖPINGS LÄN</t>
        </is>
      </c>
      <c r="E379" t="inlineStr">
        <is>
          <t>HABO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59058-2024</t>
        </is>
      </c>
      <c r="B380" s="1" t="n">
        <v>45636</v>
      </c>
      <c r="C380" s="1" t="n">
        <v>45792</v>
      </c>
      <c r="D380" t="inlineStr">
        <is>
          <t>JÖNKÖPINGS LÄN</t>
        </is>
      </c>
      <c r="E380" t="inlineStr">
        <is>
          <t>HABO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59057-2024</t>
        </is>
      </c>
      <c r="B381" s="1" t="n">
        <v>45636</v>
      </c>
      <c r="C381" s="1" t="n">
        <v>45792</v>
      </c>
      <c r="D381" t="inlineStr">
        <is>
          <t>JÖNKÖPINGS LÄN</t>
        </is>
      </c>
      <c r="E381" t="inlineStr">
        <is>
          <t>HABO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59439-2024</t>
        </is>
      </c>
      <c r="B382" s="1" t="n">
        <v>45638</v>
      </c>
      <c r="C382" s="1" t="n">
        <v>45792</v>
      </c>
      <c r="D382" t="inlineStr">
        <is>
          <t>JÖNKÖPINGS LÄN</t>
        </is>
      </c>
      <c r="E382" t="inlineStr">
        <is>
          <t>HABO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59440-2024</t>
        </is>
      </c>
      <c r="B383" s="1" t="n">
        <v>45638</v>
      </c>
      <c r="C383" s="1" t="n">
        <v>45792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59433-2024</t>
        </is>
      </c>
      <c r="B384" s="1" t="n">
        <v>45638</v>
      </c>
      <c r="C384" s="1" t="n">
        <v>45792</v>
      </c>
      <c r="D384" t="inlineStr">
        <is>
          <t>JÖNKÖPINGS LÄN</t>
        </is>
      </c>
      <c r="E384" t="inlineStr">
        <is>
          <t>HABO</t>
        </is>
      </c>
      <c r="G384" t="n">
        <v>10.4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59917-2024</t>
        </is>
      </c>
      <c r="B385" s="1" t="n">
        <v>45641</v>
      </c>
      <c r="C385" s="1" t="n">
        <v>45792</v>
      </c>
      <c r="D385" t="inlineStr">
        <is>
          <t>JÖNKÖPINGS LÄN</t>
        </is>
      </c>
      <c r="E385" t="inlineStr">
        <is>
          <t>HABO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60677-2024</t>
        </is>
      </c>
      <c r="B386" s="1" t="n">
        <v>45644</v>
      </c>
      <c r="C386" s="1" t="n">
        <v>45792</v>
      </c>
      <c r="D386" t="inlineStr">
        <is>
          <t>JÖNKÖPINGS LÄN</t>
        </is>
      </c>
      <c r="E386" t="inlineStr">
        <is>
          <t>HABO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60679-2024</t>
        </is>
      </c>
      <c r="B387" s="1" t="n">
        <v>45644</v>
      </c>
      <c r="C387" s="1" t="n">
        <v>45792</v>
      </c>
      <c r="D387" t="inlineStr">
        <is>
          <t>JÖNKÖPINGS LÄN</t>
        </is>
      </c>
      <c r="E387" t="inlineStr">
        <is>
          <t>HABO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61580-2024</t>
        </is>
      </c>
      <c r="B388" s="1" t="n">
        <v>45646</v>
      </c>
      <c r="C388" s="1" t="n">
        <v>45792</v>
      </c>
      <c r="D388" t="inlineStr">
        <is>
          <t>JÖNKÖPINGS LÄN</t>
        </is>
      </c>
      <c r="E388" t="inlineStr">
        <is>
          <t>HABO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61665-2024</t>
        </is>
      </c>
      <c r="B389" s="1" t="n">
        <v>45647</v>
      </c>
      <c r="C389" s="1" t="n">
        <v>45792</v>
      </c>
      <c r="D389" t="inlineStr">
        <is>
          <t>JÖNKÖPINGS LÄN</t>
        </is>
      </c>
      <c r="E389" t="inlineStr">
        <is>
          <t>HABO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55-2025</t>
        </is>
      </c>
      <c r="B390" s="1" t="n">
        <v>45649</v>
      </c>
      <c r="C390" s="1" t="n">
        <v>45792</v>
      </c>
      <c r="D390" t="inlineStr">
        <is>
          <t>JÖNKÖPINGS LÄN</t>
        </is>
      </c>
      <c r="E390" t="inlineStr">
        <is>
          <t>HABO</t>
        </is>
      </c>
      <c r="F390" t="inlineStr">
        <is>
          <t>Allmännings- och besparingsskogar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272-2025</t>
        </is>
      </c>
      <c r="B391" s="1" t="n">
        <v>45660</v>
      </c>
      <c r="C391" s="1" t="n">
        <v>45792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679-2025</t>
        </is>
      </c>
      <c r="B392" s="1" t="n">
        <v>45664</v>
      </c>
      <c r="C392" s="1" t="n">
        <v>45792</v>
      </c>
      <c r="D392" t="inlineStr">
        <is>
          <t>JÖNKÖPINGS LÄN</t>
        </is>
      </c>
      <c r="E392" t="inlineStr">
        <is>
          <t>HABO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1915-2025</t>
        </is>
      </c>
      <c r="B393" s="1" t="n">
        <v>45671</v>
      </c>
      <c r="C393" s="1" t="n">
        <v>45792</v>
      </c>
      <c r="D393" t="inlineStr">
        <is>
          <t>JÖNKÖPINGS LÄN</t>
        </is>
      </c>
      <c r="E393" t="inlineStr">
        <is>
          <t>HABO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2530-2025</t>
        </is>
      </c>
      <c r="B394" s="1" t="n">
        <v>45674</v>
      </c>
      <c r="C394" s="1" t="n">
        <v>45792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2526-2025</t>
        </is>
      </c>
      <c r="B395" s="1" t="n">
        <v>45674</v>
      </c>
      <c r="C395" s="1" t="n">
        <v>45792</v>
      </c>
      <c r="D395" t="inlineStr">
        <is>
          <t>JÖNKÖPINGS LÄN</t>
        </is>
      </c>
      <c r="E395" t="inlineStr">
        <is>
          <t>HABO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HYPERLINK("https://klasma.github.io/Logging_0643/knärot/A 2526-2025 karta knärot.png", "A 2526-2025")</f>
        <v/>
      </c>
      <c r="V395">
        <f>HYPERLINK("https://klasma.github.io/Logging_0643/klagomål/A 2526-2025 FSC-klagomål.docx", "A 2526-2025")</f>
        <v/>
      </c>
      <c r="W395">
        <f>HYPERLINK("https://klasma.github.io/Logging_0643/klagomålsmail/A 2526-2025 FSC-klagomål mail.docx", "A 2526-2025")</f>
        <v/>
      </c>
      <c r="X395">
        <f>HYPERLINK("https://klasma.github.io/Logging_0643/tillsyn/A 2526-2025 tillsynsbegäran.docx", "A 2526-2025")</f>
        <v/>
      </c>
      <c r="Y395">
        <f>HYPERLINK("https://klasma.github.io/Logging_0643/tillsynsmail/A 2526-2025 tillsynsbegäran mail.docx", "A 2526-2025")</f>
        <v/>
      </c>
    </row>
    <row r="396" ht="15" customHeight="1">
      <c r="A396" t="inlineStr">
        <is>
          <t>A 2527-2025</t>
        </is>
      </c>
      <c r="B396" s="1" t="n">
        <v>45674</v>
      </c>
      <c r="C396" s="1" t="n">
        <v>45792</v>
      </c>
      <c r="D396" t="inlineStr">
        <is>
          <t>JÖNKÖPINGS LÄN</t>
        </is>
      </c>
      <c r="E396" t="inlineStr">
        <is>
          <t>HABO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2532-2025</t>
        </is>
      </c>
      <c r="B397" s="1" t="n">
        <v>45674</v>
      </c>
      <c r="C397" s="1" t="n">
        <v>45792</v>
      </c>
      <c r="D397" t="inlineStr">
        <is>
          <t>JÖNKÖPINGS LÄN</t>
        </is>
      </c>
      <c r="E397" t="inlineStr">
        <is>
          <t>HABO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2536-2025</t>
        </is>
      </c>
      <c r="B398" s="1" t="n">
        <v>45674</v>
      </c>
      <c r="C398" s="1" t="n">
        <v>45792</v>
      </c>
      <c r="D398" t="inlineStr">
        <is>
          <t>JÖNKÖPINGS LÄN</t>
        </is>
      </c>
      <c r="E398" t="inlineStr">
        <is>
          <t>HABO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2861-2025</t>
        </is>
      </c>
      <c r="B399" s="1" t="n">
        <v>45677</v>
      </c>
      <c r="C399" s="1" t="n">
        <v>45792</v>
      </c>
      <c r="D399" t="inlineStr">
        <is>
          <t>JÖNKÖPINGS LÄN</t>
        </is>
      </c>
      <c r="E399" t="inlineStr">
        <is>
          <t>HABO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3353-2025</t>
        </is>
      </c>
      <c r="B400" s="1" t="n">
        <v>45679</v>
      </c>
      <c r="C400" s="1" t="n">
        <v>45792</v>
      </c>
      <c r="D400" t="inlineStr">
        <is>
          <t>JÖNKÖPINGS LÄN</t>
        </is>
      </c>
      <c r="E400" t="inlineStr">
        <is>
          <t>HABO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3379-2025</t>
        </is>
      </c>
      <c r="B401" s="1" t="n">
        <v>45680</v>
      </c>
      <c r="C401" s="1" t="n">
        <v>45792</v>
      </c>
      <c r="D401" t="inlineStr">
        <is>
          <t>JÖNKÖPINGS LÄN</t>
        </is>
      </c>
      <c r="E401" t="inlineStr">
        <is>
          <t>HABO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3847-2025</t>
        </is>
      </c>
      <c r="B402" s="1" t="n">
        <v>45683</v>
      </c>
      <c r="C402" s="1" t="n">
        <v>45792</v>
      </c>
      <c r="D402" t="inlineStr">
        <is>
          <t>JÖNKÖPINGS LÄN</t>
        </is>
      </c>
      <c r="E402" t="inlineStr">
        <is>
          <t>HABO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4551-2025</t>
        </is>
      </c>
      <c r="B403" s="1" t="n">
        <v>45687</v>
      </c>
      <c r="C403" s="1" t="n">
        <v>45792</v>
      </c>
      <c r="D403" t="inlineStr">
        <is>
          <t>JÖNKÖPINGS LÄN</t>
        </is>
      </c>
      <c r="E403" t="inlineStr">
        <is>
          <t>HABO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4549-2025</t>
        </is>
      </c>
      <c r="B404" s="1" t="n">
        <v>45687</v>
      </c>
      <c r="C404" s="1" t="n">
        <v>45792</v>
      </c>
      <c r="D404" t="inlineStr">
        <is>
          <t>JÖNKÖPINGS LÄN</t>
        </is>
      </c>
      <c r="E404" t="inlineStr">
        <is>
          <t>HABO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4546-2025</t>
        </is>
      </c>
      <c r="B405" s="1" t="n">
        <v>45687</v>
      </c>
      <c r="C405" s="1" t="n">
        <v>45792</v>
      </c>
      <c r="D405" t="inlineStr">
        <is>
          <t>JÖNKÖPINGS LÄN</t>
        </is>
      </c>
      <c r="E405" t="inlineStr">
        <is>
          <t>HABO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4957-2025</t>
        </is>
      </c>
      <c r="B406" s="1" t="n">
        <v>45689</v>
      </c>
      <c r="C406" s="1" t="n">
        <v>45792</v>
      </c>
      <c r="D406" t="inlineStr">
        <is>
          <t>JÖNKÖPINGS LÄN</t>
        </is>
      </c>
      <c r="E406" t="inlineStr">
        <is>
          <t>HABO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6069-2025</t>
        </is>
      </c>
      <c r="B407" s="1" t="n">
        <v>45696</v>
      </c>
      <c r="C407" s="1" t="n">
        <v>45792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6230-2025</t>
        </is>
      </c>
      <c r="B408" s="1" t="n">
        <v>45698</v>
      </c>
      <c r="C408" s="1" t="n">
        <v>45792</v>
      </c>
      <c r="D408" t="inlineStr">
        <is>
          <t>JÖNKÖPINGS LÄN</t>
        </is>
      </c>
      <c r="E408" t="inlineStr">
        <is>
          <t>HABO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6229-2025</t>
        </is>
      </c>
      <c r="B409" s="1" t="n">
        <v>45698</v>
      </c>
      <c r="C409" s="1" t="n">
        <v>45792</v>
      </c>
      <c r="D409" t="inlineStr">
        <is>
          <t>JÖNKÖPINGS LÄN</t>
        </is>
      </c>
      <c r="E409" t="inlineStr">
        <is>
          <t>HABO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6233-2025</t>
        </is>
      </c>
      <c r="B410" s="1" t="n">
        <v>45698</v>
      </c>
      <c r="C410" s="1" t="n">
        <v>45792</v>
      </c>
      <c r="D410" t="inlineStr">
        <is>
          <t>JÖNKÖPINGS LÄN</t>
        </is>
      </c>
      <c r="E410" t="inlineStr">
        <is>
          <t>HABO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6226-2025</t>
        </is>
      </c>
      <c r="B411" s="1" t="n">
        <v>45698</v>
      </c>
      <c r="C411" s="1" t="n">
        <v>45792</v>
      </c>
      <c r="D411" t="inlineStr">
        <is>
          <t>JÖNKÖPINGS LÄN</t>
        </is>
      </c>
      <c r="E411" t="inlineStr">
        <is>
          <t>HABO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6631-2025</t>
        </is>
      </c>
      <c r="B412" s="1" t="n">
        <v>45700</v>
      </c>
      <c r="C412" s="1" t="n">
        <v>45792</v>
      </c>
      <c r="D412" t="inlineStr">
        <is>
          <t>JÖNKÖPINGS LÄN</t>
        </is>
      </c>
      <c r="E412" t="inlineStr">
        <is>
          <t>HABO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7754-2025</t>
        </is>
      </c>
      <c r="B413" s="1" t="n">
        <v>45706</v>
      </c>
      <c r="C413" s="1" t="n">
        <v>45792</v>
      </c>
      <c r="D413" t="inlineStr">
        <is>
          <t>JÖNKÖPINGS LÄN</t>
        </is>
      </c>
      <c r="E413" t="inlineStr">
        <is>
          <t>HABO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8627-2025</t>
        </is>
      </c>
      <c r="B414" s="1" t="n">
        <v>45711</v>
      </c>
      <c r="C414" s="1" t="n">
        <v>45792</v>
      </c>
      <c r="D414" t="inlineStr">
        <is>
          <t>JÖNKÖPINGS LÄN</t>
        </is>
      </c>
      <c r="E414" t="inlineStr">
        <is>
          <t>HABO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10330-2025</t>
        </is>
      </c>
      <c r="B415" s="1" t="n">
        <v>45720</v>
      </c>
      <c r="C415" s="1" t="n">
        <v>45792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12606-2025</t>
        </is>
      </c>
      <c r="B416" s="1" t="n">
        <v>45733</v>
      </c>
      <c r="C416" s="1" t="n">
        <v>45792</v>
      </c>
      <c r="D416" t="inlineStr">
        <is>
          <t>JÖNKÖPINGS LÄN</t>
        </is>
      </c>
      <c r="E416" t="inlineStr">
        <is>
          <t>HABO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12999-2025</t>
        </is>
      </c>
      <c r="B417" s="1" t="n">
        <v>45734</v>
      </c>
      <c r="C417" s="1" t="n">
        <v>45792</v>
      </c>
      <c r="D417" t="inlineStr">
        <is>
          <t>JÖNKÖPINGS LÄN</t>
        </is>
      </c>
      <c r="E417" t="inlineStr">
        <is>
          <t>HABO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12991-2025</t>
        </is>
      </c>
      <c r="B418" s="1" t="n">
        <v>45734</v>
      </c>
      <c r="C418" s="1" t="n">
        <v>45792</v>
      </c>
      <c r="D418" t="inlineStr">
        <is>
          <t>JÖNKÖPINGS LÄN</t>
        </is>
      </c>
      <c r="E418" t="inlineStr">
        <is>
          <t>HABO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14707-2025</t>
        </is>
      </c>
      <c r="B419" s="1" t="n">
        <v>45742</v>
      </c>
      <c r="C419" s="1" t="n">
        <v>45792</v>
      </c>
      <c r="D419" t="inlineStr">
        <is>
          <t>JÖNKÖPINGS LÄN</t>
        </is>
      </c>
      <c r="E419" t="inlineStr">
        <is>
          <t>HABO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15587-2025</t>
        </is>
      </c>
      <c r="B420" s="1" t="n">
        <v>45747</v>
      </c>
      <c r="C420" s="1" t="n">
        <v>45792</v>
      </c>
      <c r="D420" t="inlineStr">
        <is>
          <t>JÖNKÖPINGS LÄN</t>
        </is>
      </c>
      <c r="E420" t="inlineStr">
        <is>
          <t>HABO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15586-2025</t>
        </is>
      </c>
      <c r="B421" s="1" t="n">
        <v>45747</v>
      </c>
      <c r="C421" s="1" t="n">
        <v>45792</v>
      </c>
      <c r="D421" t="inlineStr">
        <is>
          <t>JÖNKÖPINGS LÄN</t>
        </is>
      </c>
      <c r="E421" t="inlineStr">
        <is>
          <t>HABO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16149-2025</t>
        </is>
      </c>
      <c r="B422" s="1" t="n">
        <v>45750</v>
      </c>
      <c r="C422" s="1" t="n">
        <v>45792</v>
      </c>
      <c r="D422" t="inlineStr">
        <is>
          <t>JÖNKÖPINGS LÄN</t>
        </is>
      </c>
      <c r="E422" t="inlineStr">
        <is>
          <t>HABO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45792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16459-2025</t>
        </is>
      </c>
      <c r="B424" s="1" t="n">
        <v>45751</v>
      </c>
      <c r="C424" s="1" t="n">
        <v>45792</v>
      </c>
      <c r="D424" t="inlineStr">
        <is>
          <t>JÖNKÖPINGS LÄN</t>
        </is>
      </c>
      <c r="E424" t="inlineStr">
        <is>
          <t>HABO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17294-2025</t>
        </is>
      </c>
      <c r="B425" s="1" t="n">
        <v>45756</v>
      </c>
      <c r="C425" s="1" t="n">
        <v>45792</v>
      </c>
      <c r="D425" t="inlineStr">
        <is>
          <t>JÖNKÖPINGS LÄN</t>
        </is>
      </c>
      <c r="E425" t="inlineStr">
        <is>
          <t>HABO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17519-2025</t>
        </is>
      </c>
      <c r="B426" s="1" t="n">
        <v>45757</v>
      </c>
      <c r="C426" s="1" t="n">
        <v>45792</v>
      </c>
      <c r="D426" t="inlineStr">
        <is>
          <t>JÖNKÖPINGS LÄN</t>
        </is>
      </c>
      <c r="E426" t="inlineStr">
        <is>
          <t>HABO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17520-2025</t>
        </is>
      </c>
      <c r="B427" s="1" t="n">
        <v>45757</v>
      </c>
      <c r="C427" s="1" t="n">
        <v>45792</v>
      </c>
      <c r="D427" t="inlineStr">
        <is>
          <t>JÖNKÖPINGS LÄN</t>
        </is>
      </c>
      <c r="E427" t="inlineStr">
        <is>
          <t>HABO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17941-2025</t>
        </is>
      </c>
      <c r="B428" s="1" t="n">
        <v>45760</v>
      </c>
      <c r="C428" s="1" t="n">
        <v>45792</v>
      </c>
      <c r="D428" t="inlineStr">
        <is>
          <t>JÖNKÖPINGS LÄN</t>
        </is>
      </c>
      <c r="E428" t="inlineStr">
        <is>
          <t>HABO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21072-2025</t>
        </is>
      </c>
      <c r="B429" s="1" t="n">
        <v>45777</v>
      </c>
      <c r="C429" s="1" t="n">
        <v>45792</v>
      </c>
      <c r="D429" t="inlineStr">
        <is>
          <t>JÖNKÖPINGS LÄN</t>
        </is>
      </c>
      <c r="E429" t="inlineStr">
        <is>
          <t>HABO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21073-2025</t>
        </is>
      </c>
      <c r="B430" s="1" t="n">
        <v>45777</v>
      </c>
      <c r="C430" s="1" t="n">
        <v>45792</v>
      </c>
      <c r="D430" t="inlineStr">
        <is>
          <t>JÖNKÖPINGS LÄN</t>
        </is>
      </c>
      <c r="E430" t="inlineStr">
        <is>
          <t>HABO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22691-2025</t>
        </is>
      </c>
      <c r="B431" s="1" t="n">
        <v>45789</v>
      </c>
      <c r="C431" s="1" t="n">
        <v>45792</v>
      </c>
      <c r="D431" t="inlineStr">
        <is>
          <t>JÖNKÖPINGS LÄN</t>
        </is>
      </c>
      <c r="E431" t="inlineStr">
        <is>
          <t>HABO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22842-2025</t>
        </is>
      </c>
      <c r="B432" s="1" t="n">
        <v>45790</v>
      </c>
      <c r="C432" s="1" t="n">
        <v>45792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2025-05-15T16:40:36Z</dcterms:created>
  <dcterms:modified xmlns:dcterms="http://purl.org/dc/terms/" xmlns:xsi="http://www.w3.org/2001/XMLSchema-instance" xsi:type="dcterms:W3CDTF">2025-05-15T16:40:36Z</dcterms:modified>
</cp:coreProperties>
</file>