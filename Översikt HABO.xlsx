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46298</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46298</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46298</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46298</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46298</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44444-2023</t>
        </is>
      </c>
      <c r="B7" t="inlineStr">
        <is>
          <t>avverkningsanmälan</t>
        </is>
      </c>
      <c r="C7" t="inlineStr">
        <is>
          <t>Föryngringsavverkning</t>
        </is>
      </c>
      <c r="D7" s="1" t="n">
        <v>45183</v>
      </c>
      <c r="E7" s="1" t="n">
        <v>46298</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58667-2024</t>
        </is>
      </c>
      <c r="B8" t="inlineStr">
        <is>
          <t>avverkningsanmälan</t>
        </is>
      </c>
      <c r="C8" t="inlineStr">
        <is>
          <t>Föryngringsavverkning</t>
        </is>
      </c>
      <c r="D8" s="1" t="n">
        <v>45635</v>
      </c>
      <c r="E8" s="1" t="n">
        <v>46298</v>
      </c>
      <c r="F8" t="inlineStr">
        <is>
          <t>JÖNKÖPINGS LÄN</t>
        </is>
      </c>
      <c r="G8" t="inlineStr">
        <is>
          <t>HABO</t>
        </is>
      </c>
      <c r="I8" t="n">
        <v>1.8</v>
      </c>
      <c r="J8" t="n">
        <v>1</v>
      </c>
      <c r="K8" t="n">
        <v>0</v>
      </c>
      <c r="L8" t="n">
        <v>4</v>
      </c>
      <c r="M8" t="n">
        <v>1</v>
      </c>
      <c r="N8" t="n">
        <v>0</v>
      </c>
      <c r="O8" t="n">
        <v>0</v>
      </c>
      <c r="P8" t="n">
        <v>0</v>
      </c>
      <c r="Q8" t="n">
        <v>5</v>
      </c>
      <c r="R8" t="n">
        <v>1</v>
      </c>
      <c r="S8" t="n">
        <v>5</v>
      </c>
      <c r="T8" t="n">
        <v>11</v>
      </c>
      <c r="U8" t="n">
        <v>5</v>
      </c>
      <c r="V8" s="2" t="inlineStr">
        <is>
          <t>Knärot
Barrviolspindling
Dofttaggsvamp
Motaggsvamp
Vaddporing</t>
        </is>
      </c>
      <c r="W8">
        <f>HYPERLINK("https://klasma.github.io/Logging_0643/artfynd/A 58667-2024 artfynd.xlsx", "A 58667-2024")</f>
        <v/>
      </c>
      <c r="X8">
        <f>HYPERLINK("https://klasma.github.io/Logging_0643/kartor/A 58667-2024 karta.png", "A 58667-2024")</f>
        <v/>
      </c>
      <c r="Y8">
        <f>HYPERLINK("https://klasma.github.io/Logging_0643/kartor_geotiff/A 58667-2024 georefererad karta.tif", "A 58667-2024")</f>
        <v/>
      </c>
      <c r="Z8">
        <f>HYPERLINK("https://klasma.github.io/Logging_0643/knärot/A 58667-2024 karta knärot.png", "A 58667-2024")</f>
        <v/>
      </c>
      <c r="AA8">
        <f>HYPERLINK("https://klasma.github.io/Logging_0643/klagomål/A 58667-2024 FSC-klagomål.docx", "A 58667-2024")</f>
        <v/>
      </c>
      <c r="AB8">
        <f>HYPERLINK("https://klasma.github.io/Logging_0643/klagomålsmail/A 58667-2024 FSC-klagomål mail.docx", "A 58667-2024")</f>
        <v/>
      </c>
      <c r="AC8">
        <f>HYPERLINK("https://klasma.github.io/Logging_0643/tillsyn/A 58667-2024 tillsynsbegäran.docx", "A 58667-2024")</f>
        <v/>
      </c>
      <c r="AD8">
        <f>HYPERLINK("https://klasma.github.io/Logging_0643/tillsynsmail/A 58667-2024 tillsynsbegäran mail.docx", "A 58667-2024")</f>
        <v/>
      </c>
    </row>
    <row r="9" ht="15" customHeight="1">
      <c r="A9" t="inlineStr">
        <is>
          <t>A 53298-2022</t>
        </is>
      </c>
      <c r="B9" t="inlineStr">
        <is>
          <t>avverkningsanmälan</t>
        </is>
      </c>
      <c r="C9" t="inlineStr">
        <is>
          <t>Föryngringsavverkning</t>
        </is>
      </c>
      <c r="D9" s="1" t="n">
        <v>44877</v>
      </c>
      <c r="E9" s="1" t="n">
        <v>46298</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46298</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46298</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46298</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46298</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46298</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46298</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46298</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46298</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46298</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38067-2025</t>
        </is>
      </c>
      <c r="B19" t="inlineStr">
        <is>
          <t>avverkningsanmälan</t>
        </is>
      </c>
      <c r="C19" t="inlineStr">
        <is>
          <t>Föryngringsavverkning</t>
        </is>
      </c>
      <c r="D19" s="1" t="n">
        <v>45882</v>
      </c>
      <c r="E19" s="1" t="n">
        <v>46298</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52417-2023</t>
        </is>
      </c>
      <c r="B20" t="inlineStr">
        <is>
          <t>avverkningsanmälan</t>
        </is>
      </c>
      <c r="C20" t="inlineStr">
        <is>
          <t>Föryngringsavverkning</t>
        </is>
      </c>
      <c r="D20" s="1" t="n">
        <v>45225</v>
      </c>
      <c r="E20" s="1" t="n">
        <v>46298</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35775-2022</t>
        </is>
      </c>
      <c r="B21" t="inlineStr">
        <is>
          <t>avverkningsanmälan</t>
        </is>
      </c>
      <c r="C21" t="inlineStr">
        <is>
          <t>Föryngringsavverkning</t>
        </is>
      </c>
      <c r="D21" s="1" t="n">
        <v>44801</v>
      </c>
      <c r="E21" s="1" t="n">
        <v>46298</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46298</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37802-2024</t>
        </is>
      </c>
      <c r="B23" t="inlineStr">
        <is>
          <t>avverkningsanmälan</t>
        </is>
      </c>
      <c r="C23" t="inlineStr">
        <is>
          <t>Föryngringsavverkning</t>
        </is>
      </c>
      <c r="D23" s="1" t="n">
        <v>45543</v>
      </c>
      <c r="E23" s="1" t="n">
        <v>46298</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28825-2022</t>
        </is>
      </c>
      <c r="B24" t="inlineStr">
        <is>
          <t>avverkningsanmälan</t>
        </is>
      </c>
      <c r="C24" t="inlineStr">
        <is>
          <t>Föryngringsavverkning</t>
        </is>
      </c>
      <c r="D24" s="1" t="n">
        <v>44749</v>
      </c>
      <c r="E24" s="1" t="n">
        <v>46298</v>
      </c>
      <c r="F24" t="inlineStr">
        <is>
          <t>JÖNKÖPINGS LÄN</t>
        </is>
      </c>
      <c r="G24" t="inlineStr">
        <is>
          <t>HABO</t>
        </is>
      </c>
      <c r="I24" t="n">
        <v>1.7</v>
      </c>
      <c r="J24" t="n">
        <v>0</v>
      </c>
      <c r="K24" t="n">
        <v>0</v>
      </c>
      <c r="L24" t="n">
        <v>0</v>
      </c>
      <c r="M24" t="n">
        <v>1</v>
      </c>
      <c r="N24" t="n">
        <v>0</v>
      </c>
      <c r="O24" t="n">
        <v>0</v>
      </c>
      <c r="P24" t="n">
        <v>0</v>
      </c>
      <c r="Q24" t="n">
        <v>1</v>
      </c>
      <c r="R24" t="n">
        <v>1</v>
      </c>
      <c r="S24" t="n">
        <v>1</v>
      </c>
      <c r="T24" t="n">
        <v>1</v>
      </c>
      <c r="U24" t="n">
        <v>0</v>
      </c>
      <c r="V24" s="2" t="inlineStr">
        <is>
          <t>Skrovlig taggsvamp</t>
        </is>
      </c>
      <c r="W24">
        <f>HYPERLINK("https://klasma.github.io/Logging_0643/artfynd/A 28825-2022 artfynd.xlsx", "A 28825-2022")</f>
        <v/>
      </c>
      <c r="X24">
        <f>HYPERLINK("https://klasma.github.io/Logging_0643/kartor/A 28825-2022 karta.png", "A 28825-2022")</f>
        <v/>
      </c>
      <c r="Y24">
        <f>HYPERLINK("https://klasma.github.io/Logging_0643/kartor_geotiff/A 28825-2022 georefererad karta.tif", "A 28825-2022")</f>
        <v/>
      </c>
      <c r="AA24">
        <f>HYPERLINK("https://klasma.github.io/Logging_0643/klagomål/A 28825-2022 FSC-klagomål.docx", "A 28825-2022")</f>
        <v/>
      </c>
      <c r="AB24">
        <f>HYPERLINK("https://klasma.github.io/Logging_0643/klagomålsmail/A 28825-2022 FSC-klagomål mail.docx", "A 28825-2022")</f>
        <v/>
      </c>
      <c r="AC24">
        <f>HYPERLINK("https://klasma.github.io/Logging_0643/tillsyn/A 28825-2022 tillsynsbegäran.docx", "A 28825-2022")</f>
        <v/>
      </c>
      <c r="AD24">
        <f>HYPERLINK("https://klasma.github.io/Logging_0643/tillsynsmail/A 28825-2022 tillsynsbegäran mail.docx", "A 28825-2022")</f>
        <v/>
      </c>
    </row>
    <row r="25" ht="15" customHeight="1">
      <c r="A25" t="inlineStr">
        <is>
          <t>A 48348-2025</t>
        </is>
      </c>
      <c r="B25" t="inlineStr">
        <is>
          <t>avverkningsanmälan</t>
        </is>
      </c>
      <c r="C25" t="inlineStr">
        <is>
          <t>Föryngringsavverkning</t>
        </is>
      </c>
      <c r="D25" s="1" t="n">
        <v>45933</v>
      </c>
      <c r="E25" s="1" t="n">
        <v>46298</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HYPERLINK("https://klasma.github.io/Logging_0643/artfynd/A 48348-2025 artfynd.xlsx", "A 48348-2025")</f>
        <v/>
      </c>
      <c r="X25">
        <f>HYPERLINK("https://klasma.github.io/Logging_0643/kartor/A 48348-2025 karta.png", "A 48348-2025")</f>
        <v/>
      </c>
      <c r="Y25">
        <f>HYPERLINK("https://klasma.github.io/Logging_0643/kartor_geotiff/A 48348-2025 georefererad karta.tif", "A 48348-2025")</f>
        <v/>
      </c>
      <c r="AA25">
        <f>HYPERLINK("https://klasma.github.io/Logging_0643/klagomål/A 48348-2025 FSC-klagomål.docx", "A 48348-2025")</f>
        <v/>
      </c>
      <c r="AB25">
        <f>HYPERLINK("https://klasma.github.io/Logging_0643/klagomålsmail/A 48348-2025 FSC-klagomål mail.docx", "A 48348-2025")</f>
        <v/>
      </c>
      <c r="AC25">
        <f>HYPERLINK("https://klasma.github.io/Logging_0643/tillsyn/A 48348-2025 tillsynsbegäran.docx", "A 48348-2025")</f>
        <v/>
      </c>
      <c r="AD25">
        <f>HYPERLINK("https://klasma.github.io/Logging_0643/tillsynsmail/A 48348-2025 tillsynsbegäran mail.docx", "A 48348-2025")</f>
        <v/>
      </c>
    </row>
    <row r="26" ht="15" customHeight="1">
      <c r="A26" t="inlineStr">
        <is>
          <t>A 49866-2024</t>
        </is>
      </c>
      <c r="B26" t="inlineStr">
        <is>
          <t>avverkningsanmälan</t>
        </is>
      </c>
      <c r="C26" t="inlineStr">
        <is>
          <t>Avverkning för att bevara och utveckla /försöksver</t>
        </is>
      </c>
      <c r="D26" s="1" t="n">
        <v>45597</v>
      </c>
      <c r="E26" s="1" t="n">
        <v>46298</v>
      </c>
      <c r="F26" t="inlineStr">
        <is>
          <t>JÖNKÖPINGS LÄN</t>
        </is>
      </c>
      <c r="G26" t="inlineStr">
        <is>
          <t>HABO</t>
        </is>
      </c>
      <c r="H26" t="inlineStr">
        <is>
          <t>Sveaskog</t>
        </is>
      </c>
      <c r="I26" t="n">
        <v>0.6</v>
      </c>
      <c r="J26" t="n">
        <v>0</v>
      </c>
      <c r="K26" t="n">
        <v>0</v>
      </c>
      <c r="L26" t="n">
        <v>0</v>
      </c>
      <c r="M26" t="n">
        <v>0</v>
      </c>
      <c r="N26" t="n">
        <v>1</v>
      </c>
      <c r="O26" t="n">
        <v>0</v>
      </c>
      <c r="P26" t="n">
        <v>0</v>
      </c>
      <c r="Q26" t="n">
        <v>1</v>
      </c>
      <c r="R26" t="n">
        <v>1</v>
      </c>
      <c r="S26" t="n">
        <v>1</v>
      </c>
      <c r="T26" t="n">
        <v>8</v>
      </c>
      <c r="U26" t="n">
        <v>0</v>
      </c>
      <c r="V26" s="2" t="inlineStr">
        <is>
          <t>Ask</t>
        </is>
      </c>
      <c r="W26">
        <f>HYPERLINK("https://klasma.github.io/Logging_0643/artfynd/A 49866-2024 artfynd.xlsx", "A 49866-2024")</f>
        <v/>
      </c>
      <c r="X26">
        <f>HYPERLINK("https://klasma.github.io/Logging_0643/kartor/A 49866-2024 karta.png", "A 49866-2024")</f>
        <v/>
      </c>
      <c r="Y26">
        <f>HYPERLINK("https://klasma.github.io/Logging_0643/kartor_geotiff/A 49866-2024 georefererad karta.tif", "A 49866-2024")</f>
        <v/>
      </c>
      <c r="AA26">
        <f>HYPERLINK("https://klasma.github.io/Logging_0643/klagomål/A 49866-2024 FSC-klagomål.docx", "A 49866-2024")</f>
        <v/>
      </c>
      <c r="AB26">
        <f>HYPERLINK("https://klasma.github.io/Logging_0643/klagomålsmail/A 49866-2024 FSC-klagomål mail.docx", "A 49866-2024")</f>
        <v/>
      </c>
      <c r="AC26">
        <f>HYPERLINK("https://klasma.github.io/Logging_0643/tillsyn/A 49866-2024 tillsynsbegäran.docx", "A 49866-2024")</f>
        <v/>
      </c>
      <c r="AD26">
        <f>HYPERLINK("https://klasma.github.io/Logging_0643/tillsynsmail/A 49866-2024 tillsynsbegäran mail.docx", "A 49866-2024")</f>
        <v/>
      </c>
    </row>
    <row r="27" ht="15" customHeight="1">
      <c r="A27" t="inlineStr">
        <is>
          <t>A 27669-2025</t>
        </is>
      </c>
      <c r="B27" t="inlineStr">
        <is>
          <t>avverkningsanmälan</t>
        </is>
      </c>
      <c r="C27" t="inlineStr">
        <is>
          <t>Föryngringsavverkning</t>
        </is>
      </c>
      <c r="D27" s="1" t="n">
        <v>45813</v>
      </c>
      <c r="E27" s="1" t="n">
        <v>46298</v>
      </c>
      <c r="F27" t="inlineStr">
        <is>
          <t>JÖNKÖPINGS LÄN</t>
        </is>
      </c>
      <c r="G27" t="inlineStr">
        <is>
          <t>HABO</t>
        </is>
      </c>
      <c r="I27" t="n">
        <v>7.2</v>
      </c>
      <c r="J27" t="n">
        <v>1</v>
      </c>
      <c r="K27" t="n">
        <v>0</v>
      </c>
      <c r="L27" t="n">
        <v>1</v>
      </c>
      <c r="M27" t="n">
        <v>0</v>
      </c>
      <c r="N27" t="n">
        <v>0</v>
      </c>
      <c r="O27" t="n">
        <v>0</v>
      </c>
      <c r="P27" t="n">
        <v>0</v>
      </c>
      <c r="Q27" t="n">
        <v>1</v>
      </c>
      <c r="R27" t="n">
        <v>0</v>
      </c>
      <c r="S27" t="n">
        <v>1</v>
      </c>
      <c r="T27" t="n">
        <v>1</v>
      </c>
      <c r="U27" t="n">
        <v>0</v>
      </c>
      <c r="V27" s="2" t="inlineStr">
        <is>
          <t>Mellanlummer</t>
        </is>
      </c>
      <c r="W27">
        <f>HYPERLINK("https://klasma.github.io/Logging_0643/artfynd/A 27669-2025 artfynd.xlsx", "A 27669-2025")</f>
        <v/>
      </c>
      <c r="X27">
        <f>HYPERLINK("https://klasma.github.io/Logging_0643/kartor/A 27669-2025 karta.png", "A 27669-2025")</f>
        <v/>
      </c>
      <c r="Y27">
        <f>HYPERLINK("https://klasma.github.io/Logging_0643/kartor_geotiff/A 27669-2025 georefererad karta.tif", "A 27669-2025")</f>
        <v/>
      </c>
      <c r="AA27">
        <f>HYPERLINK("https://klasma.github.io/Logging_0643/klagomål/A 27669-2025 FSC-klagomål.docx", "A 27669-2025")</f>
        <v/>
      </c>
      <c r="AB27">
        <f>HYPERLINK("https://klasma.github.io/Logging_0643/klagomålsmail/A 27669-2025 FSC-klagomål mail.docx", "A 27669-2025")</f>
        <v/>
      </c>
      <c r="AC27">
        <f>HYPERLINK("https://klasma.github.io/Logging_0643/tillsyn/A 27669-2025 tillsynsbegäran.docx", "A 27669-2025")</f>
        <v/>
      </c>
      <c r="AD27">
        <f>HYPERLINK("https://klasma.github.io/Logging_0643/tillsynsmail/A 27669-2025 tillsynsbegäran mail.docx", "A 27669-2025")</f>
        <v/>
      </c>
    </row>
    <row r="28" ht="15" customHeight="1">
      <c r="A28" t="inlineStr">
        <is>
          <t>A 58526-2025</t>
        </is>
      </c>
      <c r="B28" t="inlineStr">
        <is>
          <t>avverkningsanmälan</t>
        </is>
      </c>
      <c r="C28" t="inlineStr">
        <is>
          <t>Föryngringsavverkning</t>
        </is>
      </c>
      <c r="D28" s="1" t="n">
        <v>45985</v>
      </c>
      <c r="E28" s="1" t="n">
        <v>46298</v>
      </c>
      <c r="F28" t="inlineStr">
        <is>
          <t>JÖNKÖPINGS LÄN</t>
        </is>
      </c>
      <c r="G28" t="inlineStr">
        <is>
          <t>HABO</t>
        </is>
      </c>
      <c r="H28" t="inlineStr">
        <is>
          <t>Sveaskog</t>
        </is>
      </c>
      <c r="I28" t="n">
        <v>8.300000000000001</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HYPERLINK("https://klasma.github.io/Logging_0643/artfynd/A 58526-2025 artfynd.xlsx", "A 58526-2025")</f>
        <v/>
      </c>
      <c r="X28">
        <f>HYPERLINK("https://klasma.github.io/Logging_0643/kartor/A 58526-2025 karta.png", "A 58526-2025")</f>
        <v/>
      </c>
      <c r="Y28">
        <f>HYPERLINK("https://klasma.github.io/Logging_0643/kartor_geotiff/A 58526-2025 georefererad karta.tif", "A 58526-2025")</f>
        <v/>
      </c>
      <c r="AA28">
        <f>HYPERLINK("https://klasma.github.io/Logging_0643/klagomål/A 58526-2025 FSC-klagomål.docx", "A 58526-2025")</f>
        <v/>
      </c>
      <c r="AB28">
        <f>HYPERLINK("https://klasma.github.io/Logging_0643/klagomålsmail/A 58526-2025 FSC-klagomål mail.docx", "A 58526-2025")</f>
        <v/>
      </c>
      <c r="AC28">
        <f>HYPERLINK("https://klasma.github.io/Logging_0643/tillsyn/A 58526-2025 tillsynsbegäran.docx", "A 58526-2025")</f>
        <v/>
      </c>
      <c r="AD28">
        <f>HYPERLINK("https://klasma.github.io/Logging_0643/tillsynsmail/A 58526-2025 tillsynsbegäran mail.docx", "A 58526-2025")</f>
        <v/>
      </c>
    </row>
    <row r="29" ht="15" customHeight="1">
      <c r="A29" t="inlineStr">
        <is>
          <t>A 58668-2024</t>
        </is>
      </c>
      <c r="B29" t="inlineStr">
        <is>
          <t>avverkningsanmälan</t>
        </is>
      </c>
      <c r="C29" t="inlineStr">
        <is>
          <t>Föryngringsavverkning</t>
        </is>
      </c>
      <c r="D29" s="1" t="n">
        <v>45635</v>
      </c>
      <c r="E29" s="1" t="n">
        <v>46298</v>
      </c>
      <c r="F29" t="inlineStr">
        <is>
          <t>JÖNKÖPINGS LÄN</t>
        </is>
      </c>
      <c r="G29" t="inlineStr">
        <is>
          <t>HABO</t>
        </is>
      </c>
      <c r="I29" t="n">
        <v>1.1</v>
      </c>
      <c r="J29" t="n">
        <v>0</v>
      </c>
      <c r="K29" t="n">
        <v>0</v>
      </c>
      <c r="L29" t="n">
        <v>1</v>
      </c>
      <c r="M29" t="n">
        <v>0</v>
      </c>
      <c r="N29" t="n">
        <v>0</v>
      </c>
      <c r="O29" t="n">
        <v>0</v>
      </c>
      <c r="P29" t="n">
        <v>0</v>
      </c>
      <c r="Q29" t="n">
        <v>1</v>
      </c>
      <c r="R29" t="n">
        <v>0</v>
      </c>
      <c r="S29" t="n">
        <v>1</v>
      </c>
      <c r="T29" t="n">
        <v>1</v>
      </c>
      <c r="U29" t="n">
        <v>0</v>
      </c>
      <c r="V29" s="2" t="inlineStr">
        <is>
          <t>Vaddporing</t>
        </is>
      </c>
      <c r="W29">
        <f>HYPERLINK("https://klasma.github.io/Logging_0643/artfynd/A 58668-2024 artfynd.xlsx", "A 58668-2024")</f>
        <v/>
      </c>
      <c r="X29">
        <f>HYPERLINK("https://klasma.github.io/Logging_0643/kartor/A 58668-2024 karta.png", "A 58668-2024")</f>
        <v/>
      </c>
      <c r="Y29">
        <f>HYPERLINK("https://klasma.github.io/Logging_0643/kartor_geotiff/A 58668-2024 georefererad karta.tif", "A 58668-2024")</f>
        <v/>
      </c>
      <c r="AA29">
        <f>HYPERLINK("https://klasma.github.io/Logging_0643/klagomål/A 58668-2024 FSC-klagomål.docx", "A 58668-2024")</f>
        <v/>
      </c>
      <c r="AB29">
        <f>HYPERLINK("https://klasma.github.io/Logging_0643/klagomålsmail/A 58668-2024 FSC-klagomål mail.docx", "A 58668-2024")</f>
        <v/>
      </c>
      <c r="AC29">
        <f>HYPERLINK("https://klasma.github.io/Logging_0643/tillsyn/A 58668-2024 tillsynsbegäran.docx", "A 58668-2024")</f>
        <v/>
      </c>
      <c r="AD29">
        <f>HYPERLINK("https://klasma.github.io/Logging_0643/tillsynsmail/A 58668-2024 tillsynsbegäran mail.docx", "A 58668-2024")</f>
        <v/>
      </c>
    </row>
    <row r="30" ht="15" customHeight="1">
      <c r="A30" t="inlineStr">
        <is>
          <t>A 15587-2025</t>
        </is>
      </c>
      <c r="B30" t="inlineStr">
        <is>
          <t>avverkningsanmälan</t>
        </is>
      </c>
      <c r="C30" t="inlineStr">
        <is>
          <t>Avverkning för annat ändamål</t>
        </is>
      </c>
      <c r="D30" s="1" t="n">
        <v>45747</v>
      </c>
      <c r="E30" s="1" t="n">
        <v>46298</v>
      </c>
      <c r="F30" t="inlineStr">
        <is>
          <t>JÖNKÖPINGS LÄN</t>
        </is>
      </c>
      <c r="G30" t="inlineStr">
        <is>
          <t>HABO</t>
        </is>
      </c>
      <c r="I30" t="n">
        <v>1.7</v>
      </c>
      <c r="J30" t="n">
        <v>1</v>
      </c>
      <c r="K30" t="n">
        <v>0</v>
      </c>
      <c r="L30" t="n">
        <v>0</v>
      </c>
      <c r="M30" t="n">
        <v>0</v>
      </c>
      <c r="N30" t="n">
        <v>0</v>
      </c>
      <c r="O30" t="n">
        <v>0</v>
      </c>
      <c r="P30" t="n">
        <v>0</v>
      </c>
      <c r="Q30" t="n">
        <v>0</v>
      </c>
      <c r="R30" t="n">
        <v>0</v>
      </c>
      <c r="S30" t="n">
        <v>1</v>
      </c>
      <c r="T30" t="n">
        <v>1</v>
      </c>
      <c r="U30" t="n">
        <v>0</v>
      </c>
      <c r="V30" s="2" t="inlineStr">
        <is>
          <t>Röd glada</t>
        </is>
      </c>
      <c r="W30">
        <f>HYPERLINK("https://klasma.github.io/Logging_0643/artfynd/A 15587-2025 artfynd.xlsx", "A 15587-2025")</f>
        <v/>
      </c>
      <c r="X30">
        <f>HYPERLINK("https://klasma.github.io/Logging_0643/kartor/A 15587-2025 karta.png", "A 15587-2025")</f>
        <v/>
      </c>
      <c r="Y30">
        <f>HYPERLINK("https://klasma.github.io/Logging_0643/kartor_geotiff/A 15587-2025 georefererad karta.tif", "A 15587-2025")</f>
        <v/>
      </c>
      <c r="AA30">
        <f>HYPERLINK("https://klasma.github.io/Logging_0643/klagomål/A 15587-2025 FSC-klagomål.docx", "A 15587-2025")</f>
        <v/>
      </c>
      <c r="AB30">
        <f>HYPERLINK("https://klasma.github.io/Logging_0643/klagomålsmail/A 15587-2025 FSC-klagomål mail.docx", "A 15587-2025")</f>
        <v/>
      </c>
      <c r="AC30">
        <f>HYPERLINK("https://klasma.github.io/Logging_0643/tillsyn/A 15587-2025 tillsynsbegäran.docx", "A 15587-2025")</f>
        <v/>
      </c>
      <c r="AD30">
        <f>HYPERLINK("https://klasma.github.io/Logging_0643/tillsynsmail/A 15587-2025 tillsynsbegäran mail.docx", "A 15587-2025")</f>
        <v/>
      </c>
      <c r="AE30">
        <f>HYPERLINK("https://klasma.github.io/Logging_0643/fåglar/A 15587-2025 prioriterade fågelarter.docx", "A 15587-2025")</f>
        <v/>
      </c>
    </row>
    <row r="31" ht="15" customHeight="1">
      <c r="A31" t="inlineStr">
        <is>
          <t>A 35626-2022</t>
        </is>
      </c>
      <c r="B31" t="inlineStr">
        <is>
          <t>avverkningsanmälan</t>
        </is>
      </c>
      <c r="C31" t="inlineStr">
        <is>
          <t>Föryngringsavverkning</t>
        </is>
      </c>
      <c r="D31" s="1" t="n">
        <v>44799</v>
      </c>
      <c r="E31" s="1" t="n">
        <v>46298</v>
      </c>
      <c r="F31" t="inlineStr">
        <is>
          <t>JÖNKÖPINGS LÄN</t>
        </is>
      </c>
      <c r="G31" t="inlineStr">
        <is>
          <t>HABO</t>
        </is>
      </c>
      <c r="H31" t="inlineStr">
        <is>
          <t>Kommuner</t>
        </is>
      </c>
      <c r="I31" t="n">
        <v>1.8</v>
      </c>
      <c r="J31" t="n">
        <v>0</v>
      </c>
      <c r="K31" t="n">
        <v>0</v>
      </c>
      <c r="L31" t="n">
        <v>0</v>
      </c>
      <c r="M31" t="n">
        <v>0</v>
      </c>
      <c r="N31" t="n">
        <v>1</v>
      </c>
      <c r="O31" t="n">
        <v>0</v>
      </c>
      <c r="P31" t="n">
        <v>0</v>
      </c>
      <c r="Q31" t="n">
        <v>1</v>
      </c>
      <c r="R31" t="n">
        <v>1</v>
      </c>
      <c r="S31" t="n">
        <v>1</v>
      </c>
      <c r="T31" t="n">
        <v>5</v>
      </c>
      <c r="U31" t="n">
        <v>0</v>
      </c>
      <c r="V31" s="2" t="inlineStr">
        <is>
          <t>Ask</t>
        </is>
      </c>
      <c r="W31">
        <f>HYPERLINK("https://klasma.github.io/Logging_0643/artfynd/A 35626-2022 artfynd.xlsx", "A 35626-2022")</f>
        <v/>
      </c>
      <c r="X31">
        <f>HYPERLINK("https://klasma.github.io/Logging_0643/kartor/A 35626-2022 karta.png", "A 35626-2022")</f>
        <v/>
      </c>
      <c r="Y31">
        <f>HYPERLINK("https://klasma.github.io/Logging_0643/kartor_geotiff/A 35626-2022 georefererad karta.tif", "A 35626-2022")</f>
        <v/>
      </c>
      <c r="AA31">
        <f>HYPERLINK("https://klasma.github.io/Logging_0643/klagomål/A 35626-2022 FSC-klagomål.docx", "A 35626-2022")</f>
        <v/>
      </c>
      <c r="AB31">
        <f>HYPERLINK("https://klasma.github.io/Logging_0643/klagomålsmail/A 35626-2022 FSC-klagomål mail.docx", "A 35626-2022")</f>
        <v/>
      </c>
      <c r="AC31">
        <f>HYPERLINK("https://klasma.github.io/Logging_0643/tillsyn/A 35626-2022 tillsynsbegäran.docx", "A 35626-2022")</f>
        <v/>
      </c>
      <c r="AD31">
        <f>HYPERLINK("https://klasma.github.io/Logging_0643/tillsynsmail/A 35626-2022 tillsynsbegäran mail.docx", "A 35626-2022")</f>
        <v/>
      </c>
    </row>
    <row r="32" ht="15" customHeight="1">
      <c r="A32" t="inlineStr">
        <is>
          <t>A 38055-2025</t>
        </is>
      </c>
      <c r="B32" t="inlineStr">
        <is>
          <t>avverkningsanmälan</t>
        </is>
      </c>
      <c r="C32" t="inlineStr">
        <is>
          <t>Föryngringsavverkning</t>
        </is>
      </c>
      <c r="D32" s="1" t="n">
        <v>45882</v>
      </c>
      <c r="E32" s="1" t="n">
        <v>46298</v>
      </c>
      <c r="F32" t="inlineStr">
        <is>
          <t>JÖNKÖPINGS LÄN</t>
        </is>
      </c>
      <c r="G32" t="inlineStr">
        <is>
          <t>HABO</t>
        </is>
      </c>
      <c r="H32" t="inlineStr">
        <is>
          <t>Allmännings- och besparingsskogar</t>
        </is>
      </c>
      <c r="I32" t="n">
        <v>8.199999999999999</v>
      </c>
      <c r="J32" t="n">
        <v>0</v>
      </c>
      <c r="K32" t="n">
        <v>1</v>
      </c>
      <c r="L32" t="n">
        <v>0</v>
      </c>
      <c r="M32" t="n">
        <v>0</v>
      </c>
      <c r="N32" t="n">
        <v>0</v>
      </c>
      <c r="O32" t="n">
        <v>0</v>
      </c>
      <c r="P32" t="n">
        <v>0</v>
      </c>
      <c r="Q32" t="n">
        <v>0</v>
      </c>
      <c r="R32" t="n">
        <v>0</v>
      </c>
      <c r="S32" t="n">
        <v>1</v>
      </c>
      <c r="T32" t="n">
        <v>1</v>
      </c>
      <c r="U32" t="n">
        <v>0</v>
      </c>
      <c r="V32" s="2" t="inlineStr">
        <is>
          <t>Mindre märgborre</t>
        </is>
      </c>
      <c r="W32">
        <f>HYPERLINK("https://klasma.github.io/Logging_0643/artfynd/A 38055-2025 artfynd.xlsx", "A 38055-2025")</f>
        <v/>
      </c>
      <c r="X32">
        <f>HYPERLINK("https://klasma.github.io/Logging_0643/kartor/A 38055-2025 karta.png", "A 38055-2025")</f>
        <v/>
      </c>
      <c r="Y32">
        <f>HYPERLINK("https://klasma.github.io/Logging_0643/kartor_geotiff/A 38055-2025 georefererad karta.tif", "A 38055-2025")</f>
        <v/>
      </c>
      <c r="AA32">
        <f>HYPERLINK("https://klasma.github.io/Logging_0643/klagomål/A 38055-2025 FSC-klagomål.docx", "A 38055-2025")</f>
        <v/>
      </c>
      <c r="AB32">
        <f>HYPERLINK("https://klasma.github.io/Logging_0643/klagomålsmail/A 38055-2025 FSC-klagomål mail.docx", "A 38055-2025")</f>
        <v/>
      </c>
      <c r="AC32">
        <f>HYPERLINK("https://klasma.github.io/Logging_0643/tillsyn/A 38055-2025 tillsynsbegäran.docx", "A 38055-2025")</f>
        <v/>
      </c>
      <c r="AD32">
        <f>HYPERLINK("https://klasma.github.io/Logging_0643/tillsynsmail/A 38055-2025 tillsynsbegäran mail.docx", "A 38055-2025")</f>
        <v/>
      </c>
    </row>
    <row r="33" ht="15" customHeight="1">
      <c r="A33" t="inlineStr">
        <is>
          <t>A 58644-2024</t>
        </is>
      </c>
      <c r="B33" t="inlineStr">
        <is>
          <t>avverkningsanmälan</t>
        </is>
      </c>
      <c r="C33" t="inlineStr">
        <is>
          <t>Föryngringsavverkning</t>
        </is>
      </c>
      <c r="D33" s="1" t="n">
        <v>45635</v>
      </c>
      <c r="E33" s="1" t="n">
        <v>46298</v>
      </c>
      <c r="F33" t="inlineStr">
        <is>
          <t>JÖNKÖPINGS LÄN</t>
        </is>
      </c>
      <c r="G33" t="inlineStr">
        <is>
          <t>HABO</t>
        </is>
      </c>
      <c r="I33" t="n">
        <v>4.5</v>
      </c>
      <c r="J33" t="n">
        <v>0</v>
      </c>
      <c r="K33" t="n">
        <v>0</v>
      </c>
      <c r="L33" t="n">
        <v>1</v>
      </c>
      <c r="M33" t="n">
        <v>0</v>
      </c>
      <c r="N33" t="n">
        <v>0</v>
      </c>
      <c r="O33" t="n">
        <v>0</v>
      </c>
      <c r="P33" t="n">
        <v>0</v>
      </c>
      <c r="Q33" t="n">
        <v>1</v>
      </c>
      <c r="R33" t="n">
        <v>0</v>
      </c>
      <c r="S33" t="n">
        <v>1</v>
      </c>
      <c r="T33" t="n">
        <v>1</v>
      </c>
      <c r="U33" t="n">
        <v>0</v>
      </c>
      <c r="V33" s="2" t="inlineStr">
        <is>
          <t>Dropptaggsvamp</t>
        </is>
      </c>
      <c r="W33">
        <f>HYPERLINK("https://klasma.github.io/Logging_0643/artfynd/A 58644-2024 artfynd.xlsx", "A 58644-2024")</f>
        <v/>
      </c>
      <c r="X33">
        <f>HYPERLINK("https://klasma.github.io/Logging_0643/kartor/A 58644-2024 karta.png", "A 58644-2024")</f>
        <v/>
      </c>
      <c r="Y33">
        <f>HYPERLINK("https://klasma.github.io/Logging_0643/kartor_geotiff/A 58644-2024 georefererad karta.tif", "A 58644-2024")</f>
        <v/>
      </c>
      <c r="AA33">
        <f>HYPERLINK("https://klasma.github.io/Logging_0643/klagomål/A 58644-2024 FSC-klagomål.docx", "A 58644-2024")</f>
        <v/>
      </c>
      <c r="AB33">
        <f>HYPERLINK("https://klasma.github.io/Logging_0643/klagomålsmail/A 58644-2024 FSC-klagomål mail.docx", "A 58644-2024")</f>
        <v/>
      </c>
      <c r="AC33">
        <f>HYPERLINK("https://klasma.github.io/Logging_0643/tillsyn/A 58644-2024 tillsynsbegäran.docx", "A 58644-2024")</f>
        <v/>
      </c>
      <c r="AD33">
        <f>HYPERLINK("https://klasma.github.io/Logging_0643/tillsynsmail/A 58644-2024 tillsynsbegäran mail.docx", "A 58644-2024")</f>
        <v/>
      </c>
    </row>
    <row r="34" ht="15" customHeight="1">
      <c r="A34" t="inlineStr">
        <is>
          <t>A 44439-2023</t>
        </is>
      </c>
      <c r="B34" t="inlineStr">
        <is>
          <t>avverkningsanmälan</t>
        </is>
      </c>
      <c r="C34" t="inlineStr">
        <is>
          <t>Föryngringsavverkning</t>
        </is>
      </c>
      <c r="D34" s="1" t="n">
        <v>45183</v>
      </c>
      <c r="E34" s="1" t="n">
        <v>46298</v>
      </c>
      <c r="F34" t="inlineStr">
        <is>
          <t>JÖNKÖPINGS LÄN</t>
        </is>
      </c>
      <c r="G34" t="inlineStr">
        <is>
          <t>HABO</t>
        </is>
      </c>
      <c r="H34" t="inlineStr">
        <is>
          <t>Allmännings- och besparingsskogar</t>
        </is>
      </c>
      <c r="I34" t="n">
        <v>5.3</v>
      </c>
      <c r="J34" t="n">
        <v>0</v>
      </c>
      <c r="K34" t="n">
        <v>0</v>
      </c>
      <c r="L34" t="n">
        <v>1</v>
      </c>
      <c r="M34" t="n">
        <v>0</v>
      </c>
      <c r="N34" t="n">
        <v>0</v>
      </c>
      <c r="O34" t="n">
        <v>0</v>
      </c>
      <c r="P34" t="n">
        <v>0</v>
      </c>
      <c r="Q34" t="n">
        <v>1</v>
      </c>
      <c r="R34" t="n">
        <v>0</v>
      </c>
      <c r="S34" t="n">
        <v>1</v>
      </c>
      <c r="T34" t="n">
        <v>3</v>
      </c>
      <c r="U34" t="n">
        <v>0</v>
      </c>
      <c r="V34" s="2" t="inlineStr">
        <is>
          <t>Motaggsvamp</t>
        </is>
      </c>
      <c r="W34">
        <f>HYPERLINK("https://klasma.github.io/Logging_0643/artfynd/A 44439-2023 artfynd.xlsx", "A 44439-2023")</f>
        <v/>
      </c>
      <c r="X34">
        <f>HYPERLINK("https://klasma.github.io/Logging_0643/kartor/A 44439-2023 karta.png", "A 44439-2023")</f>
        <v/>
      </c>
      <c r="Y34">
        <f>HYPERLINK("https://klasma.github.io/Logging_0643/kartor_geotiff/A 44439-2023 georefererad karta.tif", "A 44439-2023")</f>
        <v/>
      </c>
      <c r="AA34">
        <f>HYPERLINK("https://klasma.github.io/Logging_0643/klagomål/A 44439-2023 FSC-klagomål.docx", "A 44439-2023")</f>
        <v/>
      </c>
      <c r="AB34">
        <f>HYPERLINK("https://klasma.github.io/Logging_0643/klagomålsmail/A 44439-2023 FSC-klagomål mail.docx", "A 44439-2023")</f>
        <v/>
      </c>
      <c r="AC34">
        <f>HYPERLINK("https://klasma.github.io/Logging_0643/tillsyn/A 44439-2023 tillsynsbegäran.docx", "A 44439-2023")</f>
        <v/>
      </c>
      <c r="AD34">
        <f>HYPERLINK("https://klasma.github.io/Logging_0643/tillsynsmail/A 44439-2023 tillsynsbegäran mail.docx", "A 44439-2023")</f>
        <v/>
      </c>
    </row>
    <row r="35" ht="15" customHeight="1">
      <c r="A35" t="inlineStr">
        <is>
          <t>S 636-2024</t>
        </is>
      </c>
      <c r="B35" t="inlineStr">
        <is>
          <t>samrådsanmälan</t>
        </is>
      </c>
      <c r="C35" t="inlineStr">
        <is>
          <t>Skogsgödsling</t>
        </is>
      </c>
      <c r="D35" s="1" t="n">
        <v>45355</v>
      </c>
      <c r="E35" s="1" t="n">
        <v>46298</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46298</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46298</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46298</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46298</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46298</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46298</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46298</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46298</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46298</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46298</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46298</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46298</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46298</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27795-2024</t>
        </is>
      </c>
      <c r="B49" t="inlineStr">
        <is>
          <t>avverkningsanmälan</t>
        </is>
      </c>
      <c r="C49" t="inlineStr">
        <is>
          <t>Föryngringsavverkning</t>
        </is>
      </c>
      <c r="D49" s="1" t="n">
        <v>45475</v>
      </c>
      <c r="E49" s="1" t="n">
        <v>46298</v>
      </c>
      <c r="F49" t="inlineStr">
        <is>
          <t>JÖNKÖPINGS LÄN</t>
        </is>
      </c>
      <c r="G49" t="inlineStr">
        <is>
          <t>HABO</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49673-2023</t>
        </is>
      </c>
      <c r="B50" t="inlineStr">
        <is>
          <t>avverkningsanmälan</t>
        </is>
      </c>
      <c r="C50" t="inlineStr">
        <is>
          <t>Föryngringsavverkning</t>
        </is>
      </c>
      <c r="D50" s="1" t="n">
        <v>45212</v>
      </c>
      <c r="E50" s="1" t="n">
        <v>46298</v>
      </c>
      <c r="F50" t="inlineStr">
        <is>
          <t>JÖNKÖPINGS LÄN</t>
        </is>
      </c>
      <c r="G50" t="inlineStr">
        <is>
          <t>HABO</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26212-2023</t>
        </is>
      </c>
      <c r="B51" t="inlineStr">
        <is>
          <t>avverkningsanmälan</t>
        </is>
      </c>
      <c r="C51" t="inlineStr">
        <is>
          <t>Föryngringsavverkning</t>
        </is>
      </c>
      <c r="D51" s="1" t="n">
        <v>45091</v>
      </c>
      <c r="E51" s="1" t="n">
        <v>46298</v>
      </c>
      <c r="F51" t="inlineStr">
        <is>
          <t>JÖNKÖPINGS LÄN</t>
        </is>
      </c>
      <c r="G51" t="inlineStr">
        <is>
          <t>HABO</t>
        </is>
      </c>
      <c r="I51" t="n">
        <v>3.9</v>
      </c>
      <c r="J51" t="n">
        <v>0</v>
      </c>
      <c r="K51" t="n">
        <v>0</v>
      </c>
      <c r="L51" t="n">
        <v>0</v>
      </c>
      <c r="M51" t="n">
        <v>0</v>
      </c>
      <c r="N51" t="n">
        <v>0</v>
      </c>
      <c r="O51" t="n">
        <v>0</v>
      </c>
      <c r="P51" t="n">
        <v>0</v>
      </c>
      <c r="Q51" t="n">
        <v>0</v>
      </c>
      <c r="R51" t="n">
        <v>0</v>
      </c>
      <c r="S51" t="n">
        <v>0</v>
      </c>
      <c r="T51" t="n">
        <v>0</v>
      </c>
      <c r="U51" t="n">
        <v>0</v>
      </c>
      <c r="V51" s="2" t="inlineStr"/>
    </row>
    <row r="52" ht="15" customHeight="1">
      <c r="A52" t="inlineStr">
        <is>
          <t>A 16509-2023</t>
        </is>
      </c>
      <c r="B52" t="inlineStr">
        <is>
          <t>avverkningsanmälan</t>
        </is>
      </c>
      <c r="C52" t="inlineStr">
        <is>
          <t>Föryngringsavverkning</t>
        </is>
      </c>
      <c r="D52" s="1" t="n">
        <v>45029</v>
      </c>
      <c r="E52" s="1" t="n">
        <v>46298</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272-2025</t>
        </is>
      </c>
      <c r="B53" t="inlineStr">
        <is>
          <t>avverkningsanmälan</t>
        </is>
      </c>
      <c r="C53" t="inlineStr">
        <is>
          <t>Föryngringsavverkning</t>
        </is>
      </c>
      <c r="D53" s="1" t="n">
        <v>45660</v>
      </c>
      <c r="E53" s="1" t="n">
        <v>46298</v>
      </c>
      <c r="F53" t="inlineStr">
        <is>
          <t>JÖNKÖPINGS LÄN</t>
        </is>
      </c>
      <c r="G53" t="inlineStr">
        <is>
          <t>HABO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59917-2024</t>
        </is>
      </c>
      <c r="B54" t="inlineStr">
        <is>
          <t>avverkningsanmälan</t>
        </is>
      </c>
      <c r="C54" t="inlineStr">
        <is>
          <t>Föryngringsavverkning</t>
        </is>
      </c>
      <c r="D54" s="1" t="n">
        <v>45641</v>
      </c>
      <c r="E54" s="1" t="n">
        <v>46298</v>
      </c>
      <c r="F54" t="inlineStr">
        <is>
          <t>JÖNKÖPINGS LÄN</t>
        </is>
      </c>
      <c r="G54" t="inlineStr">
        <is>
          <t>HABO</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6229-2025</t>
        </is>
      </c>
      <c r="B55" t="inlineStr">
        <is>
          <t>avverkningsanmälan</t>
        </is>
      </c>
      <c r="C55" t="inlineStr">
        <is>
          <t>Föryngringsavverkning</t>
        </is>
      </c>
      <c r="D55" s="1" t="n">
        <v>45698</v>
      </c>
      <c r="E55" s="1" t="n">
        <v>46298</v>
      </c>
      <c r="F55" t="inlineStr">
        <is>
          <t>JÖNKÖPINGS LÄN</t>
        </is>
      </c>
      <c r="G55" t="inlineStr">
        <is>
          <t>HABO</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59058-2024</t>
        </is>
      </c>
      <c r="B56" t="inlineStr">
        <is>
          <t>avverkningsanmälan</t>
        </is>
      </c>
      <c r="C56" t="inlineStr">
        <is>
          <t>Föryngringsavverkning</t>
        </is>
      </c>
      <c r="D56" s="1" t="n">
        <v>45636</v>
      </c>
      <c r="E56" s="1" t="n">
        <v>46298</v>
      </c>
      <c r="F56" t="inlineStr">
        <is>
          <t>JÖNKÖPINGS LÄN</t>
        </is>
      </c>
      <c r="G56" t="inlineStr">
        <is>
          <t>HABO</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35779-2022</t>
        </is>
      </c>
      <c r="B57" t="inlineStr">
        <is>
          <t>avverkningsanmälan</t>
        </is>
      </c>
      <c r="C57" t="inlineStr">
        <is>
          <t>Föryngringsavverkning</t>
        </is>
      </c>
      <c r="D57" s="1" t="n">
        <v>44801</v>
      </c>
      <c r="E57" s="1" t="n">
        <v>46298</v>
      </c>
      <c r="F57" t="inlineStr">
        <is>
          <t>JÖNKÖPINGS LÄN</t>
        </is>
      </c>
      <c r="G57" t="inlineStr">
        <is>
          <t>HABO</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30340-2023</t>
        </is>
      </c>
      <c r="B58" t="inlineStr">
        <is>
          <t>avverkningsanmälan</t>
        </is>
      </c>
      <c r="C58" t="inlineStr">
        <is>
          <t>Föryngringsavverkning</t>
        </is>
      </c>
      <c r="D58" s="1" t="n">
        <v>45111</v>
      </c>
      <c r="E58" s="1" t="n">
        <v>46298</v>
      </c>
      <c r="F58" t="inlineStr">
        <is>
          <t>JÖNKÖPINGS LÄN</t>
        </is>
      </c>
      <c r="G58" t="inlineStr">
        <is>
          <t>HABO</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4549-2025</t>
        </is>
      </c>
      <c r="B59" t="inlineStr">
        <is>
          <t>avverkningsanmälan</t>
        </is>
      </c>
      <c r="C59" t="inlineStr">
        <is>
          <t>Föryngringsavverkning</t>
        </is>
      </c>
      <c r="D59" s="1" t="n">
        <v>45687</v>
      </c>
      <c r="E59" s="1" t="n">
        <v>46298</v>
      </c>
      <c r="F59" t="inlineStr">
        <is>
          <t>JÖNKÖPINGS LÄN</t>
        </is>
      </c>
      <c r="G59" t="inlineStr">
        <is>
          <t>HABO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49849-2024</t>
        </is>
      </c>
      <c r="B60" t="inlineStr">
        <is>
          <t>avverkningsanmälan</t>
        </is>
      </c>
      <c r="C60" t="inlineStr">
        <is>
          <t>Föryngringsavverkning</t>
        </is>
      </c>
      <c r="D60" s="1" t="n">
        <v>45597</v>
      </c>
      <c r="E60" s="1" t="n">
        <v>46298</v>
      </c>
      <c r="F60" t="inlineStr">
        <is>
          <t>JÖNKÖPINGS LÄN</t>
        </is>
      </c>
      <c r="G60" t="inlineStr">
        <is>
          <t>HABO</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16727-2023</t>
        </is>
      </c>
      <c r="B61" t="inlineStr">
        <is>
          <t>avverkningsanmälan</t>
        </is>
      </c>
      <c r="C61" t="inlineStr">
        <is>
          <t>Föryngringsavverkning</t>
        </is>
      </c>
      <c r="D61" s="1" t="n">
        <v>45030</v>
      </c>
      <c r="E61" s="1" t="n">
        <v>46298</v>
      </c>
      <c r="F61" t="inlineStr">
        <is>
          <t>JÖNKÖPINGS LÄN</t>
        </is>
      </c>
      <c r="G61" t="inlineStr">
        <is>
          <t>HABO</t>
        </is>
      </c>
      <c r="I61" t="n">
        <v>3.2</v>
      </c>
      <c r="J61" t="n">
        <v>0</v>
      </c>
      <c r="K61" t="n">
        <v>0</v>
      </c>
      <c r="L61" t="n">
        <v>0</v>
      </c>
      <c r="M61" t="n">
        <v>0</v>
      </c>
      <c r="N61" t="n">
        <v>0</v>
      </c>
      <c r="O61" t="n">
        <v>0</v>
      </c>
      <c r="P61" t="n">
        <v>0</v>
      </c>
      <c r="Q61" t="n">
        <v>0</v>
      </c>
      <c r="R61" t="n">
        <v>0</v>
      </c>
      <c r="S61" t="n">
        <v>0</v>
      </c>
      <c r="T61" t="n">
        <v>0</v>
      </c>
      <c r="U61" t="n">
        <v>0</v>
      </c>
      <c r="V61" s="2" t="inlineStr"/>
    </row>
    <row r="62" ht="15" customHeight="1">
      <c r="A62" t="inlineStr">
        <is>
          <t>A 58452-2021</t>
        </is>
      </c>
      <c r="B62" t="inlineStr">
        <is>
          <t>avverkningsanmälan</t>
        </is>
      </c>
      <c r="C62" t="inlineStr">
        <is>
          <t>Föryngringsavverkning</t>
        </is>
      </c>
      <c r="D62" s="1" t="n">
        <v>44488</v>
      </c>
      <c r="E62" s="1" t="n">
        <v>46298</v>
      </c>
      <c r="F62" t="inlineStr">
        <is>
          <t>JÖNKÖPINGS LÄN</t>
        </is>
      </c>
      <c r="G62" t="inlineStr">
        <is>
          <t>HABO</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28685-2024</t>
        </is>
      </c>
      <c r="B63" t="inlineStr">
        <is>
          <t>avverkningsanmälan</t>
        </is>
      </c>
      <c r="C63" t="inlineStr">
        <is>
          <t>Föryngringsavverkning</t>
        </is>
      </c>
      <c r="D63" s="1" t="n">
        <v>45478</v>
      </c>
      <c r="E63" s="1" t="n">
        <v>46298</v>
      </c>
      <c r="F63" t="inlineStr">
        <is>
          <t>JÖNKÖPINGS LÄN</t>
        </is>
      </c>
      <c r="G63" t="inlineStr">
        <is>
          <t>HABO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54988-2024</t>
        </is>
      </c>
      <c r="B64" t="inlineStr">
        <is>
          <t>avverkningsanmälan</t>
        </is>
      </c>
      <c r="C64" t="inlineStr">
        <is>
          <t>Föryngringsavverkning</t>
        </is>
      </c>
      <c r="D64" s="1" t="n">
        <v>45620</v>
      </c>
      <c r="E64" s="1" t="n">
        <v>46298</v>
      </c>
      <c r="F64" t="inlineStr">
        <is>
          <t>JÖNKÖPINGS LÄN</t>
        </is>
      </c>
      <c r="G64" t="inlineStr">
        <is>
          <t>HABO</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55369-2024</t>
        </is>
      </c>
      <c r="B65" t="inlineStr">
        <is>
          <t>avverkningsanmälan</t>
        </is>
      </c>
      <c r="C65" t="inlineStr">
        <is>
          <t>Föryngringsavverkning</t>
        </is>
      </c>
      <c r="D65" s="1" t="n">
        <v>45621</v>
      </c>
      <c r="E65" s="1" t="n">
        <v>46298</v>
      </c>
      <c r="F65" t="inlineStr">
        <is>
          <t>JÖNKÖPINGS LÄN</t>
        </is>
      </c>
      <c r="G65" t="inlineStr">
        <is>
          <t>HABO</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55370-2024</t>
        </is>
      </c>
      <c r="B66" t="inlineStr">
        <is>
          <t>avverkningsanmälan</t>
        </is>
      </c>
      <c r="C66" t="inlineStr">
        <is>
          <t>Föryngringsavverkning</t>
        </is>
      </c>
      <c r="D66" s="1" t="n">
        <v>45621</v>
      </c>
      <c r="E66" s="1" t="n">
        <v>46298</v>
      </c>
      <c r="F66" t="inlineStr">
        <is>
          <t>JÖNKÖPINGS LÄN</t>
        </is>
      </c>
      <c r="G66" t="inlineStr">
        <is>
          <t>HABO</t>
        </is>
      </c>
      <c r="I66" t="n">
        <v>11.5</v>
      </c>
      <c r="J66" t="n">
        <v>0</v>
      </c>
      <c r="K66" t="n">
        <v>0</v>
      </c>
      <c r="L66" t="n">
        <v>0</v>
      </c>
      <c r="M66" t="n">
        <v>0</v>
      </c>
      <c r="N66" t="n">
        <v>0</v>
      </c>
      <c r="O66" t="n">
        <v>0</v>
      </c>
      <c r="P66" t="n">
        <v>0</v>
      </c>
      <c r="Q66" t="n">
        <v>0</v>
      </c>
      <c r="R66" t="n">
        <v>0</v>
      </c>
      <c r="S66" t="n">
        <v>0</v>
      </c>
      <c r="T66" t="n">
        <v>0</v>
      </c>
      <c r="U66" t="n">
        <v>0</v>
      </c>
      <c r="V66" s="2" t="inlineStr"/>
    </row>
    <row r="67" ht="15" customHeight="1">
      <c r="A67" t="inlineStr">
        <is>
          <t>A 55376-2024</t>
        </is>
      </c>
      <c r="B67" t="inlineStr">
        <is>
          <t>avverkningsanmälan</t>
        </is>
      </c>
      <c r="C67" t="inlineStr">
        <is>
          <t>Föryngringsavverkning</t>
        </is>
      </c>
      <c r="D67" s="1" t="n">
        <v>45621</v>
      </c>
      <c r="E67" s="1" t="n">
        <v>46298</v>
      </c>
      <c r="F67" t="inlineStr">
        <is>
          <t>JÖNKÖPINGS LÄN</t>
        </is>
      </c>
      <c r="G67" t="inlineStr">
        <is>
          <t>HABO</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38759-2025</t>
        </is>
      </c>
      <c r="B68" t="inlineStr">
        <is>
          <t>avverkningsanmälan</t>
        </is>
      </c>
      <c r="C68" t="inlineStr">
        <is>
          <t>Föryngringsavverkning</t>
        </is>
      </c>
      <c r="D68" s="1" t="n">
        <v>45887</v>
      </c>
      <c r="E68" s="1" t="n">
        <v>46298</v>
      </c>
      <c r="F68" t="inlineStr">
        <is>
          <t>JÖNKÖPINGS LÄN</t>
        </is>
      </c>
      <c r="G68" t="inlineStr">
        <is>
          <t>HABO</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52055-2024</t>
        </is>
      </c>
      <c r="B69" t="inlineStr">
        <is>
          <t>avverkningsanmälan</t>
        </is>
      </c>
      <c r="C69" t="inlineStr">
        <is>
          <t>Avverkning för annat ändamål</t>
        </is>
      </c>
      <c r="D69" s="1" t="n">
        <v>45608</v>
      </c>
      <c r="E69" s="1" t="n">
        <v>46298</v>
      </c>
      <c r="F69" t="inlineStr">
        <is>
          <t>JÖNKÖPINGS LÄN</t>
        </is>
      </c>
      <c r="G69" t="inlineStr">
        <is>
          <t>HABO</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1004-2022</t>
        </is>
      </c>
      <c r="B70" t="inlineStr">
        <is>
          <t>avverkningsanmälan</t>
        </is>
      </c>
      <c r="C70" t="inlineStr">
        <is>
          <t>Föryngringsavverkning</t>
        </is>
      </c>
      <c r="D70" s="1" t="n">
        <v>44571</v>
      </c>
      <c r="E70" s="1" t="n">
        <v>46298</v>
      </c>
      <c r="F70" t="inlineStr">
        <is>
          <t>JÖNKÖPINGS LÄN</t>
        </is>
      </c>
      <c r="G70" t="inlineStr">
        <is>
          <t>HABO</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40677-2025</t>
        </is>
      </c>
      <c r="B71" t="inlineStr">
        <is>
          <t>avverkningsanmälan</t>
        </is>
      </c>
      <c r="C71" t="inlineStr">
        <is>
          <t>Föryngringsavverkning</t>
        </is>
      </c>
      <c r="D71" s="1" t="n">
        <v>45896</v>
      </c>
      <c r="E71" s="1" t="n">
        <v>46298</v>
      </c>
      <c r="F71" t="inlineStr">
        <is>
          <t>JÖNKÖPINGS LÄN</t>
        </is>
      </c>
      <c r="G71" t="inlineStr">
        <is>
          <t>HABO</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27791-2024</t>
        </is>
      </c>
      <c r="B72" t="inlineStr">
        <is>
          <t>avverkningsanmälan</t>
        </is>
      </c>
      <c r="C72" t="inlineStr">
        <is>
          <t>Föryngringsavverkning</t>
        </is>
      </c>
      <c r="D72" s="1" t="n">
        <v>45475</v>
      </c>
      <c r="E72" s="1" t="n">
        <v>46298</v>
      </c>
      <c r="F72" t="inlineStr">
        <is>
          <t>JÖNKÖPINGS LÄN</t>
        </is>
      </c>
      <c r="G72" t="inlineStr">
        <is>
          <t>HABO</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27794-2024</t>
        </is>
      </c>
      <c r="B73" t="inlineStr">
        <is>
          <t>avverkningsanmälan</t>
        </is>
      </c>
      <c r="C73" t="inlineStr">
        <is>
          <t>Föryngringsavverkning</t>
        </is>
      </c>
      <c r="D73" s="1" t="n">
        <v>45475</v>
      </c>
      <c r="E73" s="1" t="n">
        <v>46298</v>
      </c>
      <c r="F73" t="inlineStr">
        <is>
          <t>JÖNKÖPINGS LÄN</t>
        </is>
      </c>
      <c r="G73" t="inlineStr">
        <is>
          <t>HABO</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32331-2023</t>
        </is>
      </c>
      <c r="B74" t="inlineStr">
        <is>
          <t>avverkningsanmälan</t>
        </is>
      </c>
      <c r="C74" t="inlineStr">
        <is>
          <t>Föryngringsavverkning</t>
        </is>
      </c>
      <c r="D74" s="1" t="n">
        <v>45120</v>
      </c>
      <c r="E74" s="1" t="n">
        <v>46298</v>
      </c>
      <c r="F74" t="inlineStr">
        <is>
          <t>JÖNKÖPINGS LÄN</t>
        </is>
      </c>
      <c r="G74" t="inlineStr">
        <is>
          <t>HABO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41962-2025</t>
        </is>
      </c>
      <c r="B75" t="inlineStr">
        <is>
          <t>avverkningsanmälan</t>
        </is>
      </c>
      <c r="C75" t="inlineStr">
        <is>
          <t>Föryngringsavverkning</t>
        </is>
      </c>
      <c r="D75" s="1" t="n">
        <v>45903</v>
      </c>
      <c r="E75" s="1" t="n">
        <v>46298</v>
      </c>
      <c r="F75" t="inlineStr">
        <is>
          <t>JÖNKÖPINGS LÄN</t>
        </is>
      </c>
      <c r="G75" t="inlineStr">
        <is>
          <t>HABO</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2690-2026</t>
        </is>
      </c>
      <c r="B76" t="inlineStr">
        <is>
          <t>avverkningsanmälan</t>
        </is>
      </c>
      <c r="C76" t="inlineStr">
        <is>
          <t>Föryngringsavverkning</t>
        </is>
      </c>
      <c r="D76" s="1" t="n">
        <v>46037</v>
      </c>
      <c r="E76" s="1" t="n">
        <v>46298</v>
      </c>
      <c r="F76" t="inlineStr">
        <is>
          <t>JÖNKÖPINGS LÄN</t>
        </is>
      </c>
      <c r="G76" t="inlineStr">
        <is>
          <t>HABO</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2693-2026</t>
        </is>
      </c>
      <c r="B77" t="inlineStr">
        <is>
          <t>avverkningsanmälan</t>
        </is>
      </c>
      <c r="C77" t="inlineStr">
        <is>
          <t>Föryngringsavverkning</t>
        </is>
      </c>
      <c r="D77" s="1" t="n">
        <v>46037</v>
      </c>
      <c r="E77" s="1" t="n">
        <v>46298</v>
      </c>
      <c r="F77" t="inlineStr">
        <is>
          <t>JÖNKÖPINGS LÄN</t>
        </is>
      </c>
      <c r="G77" t="inlineStr">
        <is>
          <t>HABO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35369-2023</t>
        </is>
      </c>
      <c r="B78" t="inlineStr">
        <is>
          <t>avverkningsanmälan</t>
        </is>
      </c>
      <c r="C78" t="inlineStr">
        <is>
          <t>Föryngringsavverkning</t>
        </is>
      </c>
      <c r="D78" s="1" t="n">
        <v>45146</v>
      </c>
      <c r="E78" s="1" t="n">
        <v>46298</v>
      </c>
      <c r="F78" t="inlineStr">
        <is>
          <t>JÖNKÖPINGS LÄN</t>
        </is>
      </c>
      <c r="G78" t="inlineStr">
        <is>
          <t>HABO</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2681-2026</t>
        </is>
      </c>
      <c r="B79" t="inlineStr">
        <is>
          <t>avverkningsanmälan</t>
        </is>
      </c>
      <c r="C79" t="inlineStr">
        <is>
          <t>Föryngringsavverkning</t>
        </is>
      </c>
      <c r="D79" s="1" t="n">
        <v>46037</v>
      </c>
      <c r="E79" s="1" t="n">
        <v>46298</v>
      </c>
      <c r="F79" t="inlineStr">
        <is>
          <t>JÖNKÖPINGS LÄN</t>
        </is>
      </c>
      <c r="G79" t="inlineStr">
        <is>
          <t>HABO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3282-2026</t>
        </is>
      </c>
      <c r="B80" t="inlineStr">
        <is>
          <t>avverkningsanmälan</t>
        </is>
      </c>
      <c r="C80" t="inlineStr">
        <is>
          <t>Föryngringsavverkning</t>
        </is>
      </c>
      <c r="D80" s="1" t="n">
        <v>46041</v>
      </c>
      <c r="E80" s="1" t="n">
        <v>46298</v>
      </c>
      <c r="F80" t="inlineStr">
        <is>
          <t>JÖNKÖPINGS LÄN</t>
        </is>
      </c>
      <c r="G80" t="inlineStr">
        <is>
          <t>HABO</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3775-2026</t>
        </is>
      </c>
      <c r="B81" t="inlineStr">
        <is>
          <t>avverkningsanmälan</t>
        </is>
      </c>
      <c r="C81" t="inlineStr">
        <is>
          <t>Föryngringsavverkning</t>
        </is>
      </c>
      <c r="D81" s="1" t="n">
        <v>46043</v>
      </c>
      <c r="E81" s="1" t="n">
        <v>46298</v>
      </c>
      <c r="F81" t="inlineStr">
        <is>
          <t>JÖNKÖPINGS LÄN</t>
        </is>
      </c>
      <c r="G81" t="inlineStr">
        <is>
          <t>HABO</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3792-2026</t>
        </is>
      </c>
      <c r="B82" t="inlineStr">
        <is>
          <t>avverkningsanmälan</t>
        </is>
      </c>
      <c r="C82" t="inlineStr">
        <is>
          <t>Föryngringsavverkning</t>
        </is>
      </c>
      <c r="D82" s="1" t="n">
        <v>46043</v>
      </c>
      <c r="E82" s="1" t="n">
        <v>46298</v>
      </c>
      <c r="F82" t="inlineStr">
        <is>
          <t>JÖNKÖPINGS LÄN</t>
        </is>
      </c>
      <c r="G82" t="inlineStr">
        <is>
          <t>HABO</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3794-2026</t>
        </is>
      </c>
      <c r="B83" t="inlineStr">
        <is>
          <t>avverkningsanmälan</t>
        </is>
      </c>
      <c r="C83" t="inlineStr">
        <is>
          <t>Föryngringsavverkning</t>
        </is>
      </c>
      <c r="D83" s="1" t="n">
        <v>46043</v>
      </c>
      <c r="E83" s="1" t="n">
        <v>46298</v>
      </c>
      <c r="F83" t="inlineStr">
        <is>
          <t>JÖNKÖPINGS LÄN</t>
        </is>
      </c>
      <c r="G83" t="inlineStr">
        <is>
          <t>HABO</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3783-2026</t>
        </is>
      </c>
      <c r="B84" t="inlineStr">
        <is>
          <t>avverkningsanmälan</t>
        </is>
      </c>
      <c r="C84" t="inlineStr">
        <is>
          <t>Föryngringsavverkning</t>
        </is>
      </c>
      <c r="D84" s="1" t="n">
        <v>46043</v>
      </c>
      <c r="E84" s="1" t="n">
        <v>46298</v>
      </c>
      <c r="F84" t="inlineStr">
        <is>
          <t>JÖNKÖPINGS LÄN</t>
        </is>
      </c>
      <c r="G84" t="inlineStr">
        <is>
          <t>HABO</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50804-2024</t>
        </is>
      </c>
      <c r="B85" t="inlineStr">
        <is>
          <t>avverkningsanmälan</t>
        </is>
      </c>
      <c r="C85" t="inlineStr">
        <is>
          <t>Föryngringsavverkning</t>
        </is>
      </c>
      <c r="D85" s="1" t="n">
        <v>45602</v>
      </c>
      <c r="E85" s="1" t="n">
        <v>46298</v>
      </c>
      <c r="F85" t="inlineStr">
        <is>
          <t>JÖNKÖPINGS LÄN</t>
        </is>
      </c>
      <c r="G85" t="inlineStr">
        <is>
          <t>HABO</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3787-2026</t>
        </is>
      </c>
      <c r="B86" t="inlineStr">
        <is>
          <t>avverkningsanmälan</t>
        </is>
      </c>
      <c r="C86" t="inlineStr">
        <is>
          <t>Föryngringsavverkning</t>
        </is>
      </c>
      <c r="D86" s="1" t="n">
        <v>46043</v>
      </c>
      <c r="E86" s="1" t="n">
        <v>46298</v>
      </c>
      <c r="F86" t="inlineStr">
        <is>
          <t>JÖNKÖPINGS LÄN</t>
        </is>
      </c>
      <c r="G86" t="inlineStr">
        <is>
          <t>HABO</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3778-2026</t>
        </is>
      </c>
      <c r="B87" t="inlineStr">
        <is>
          <t>avverkningsanmälan</t>
        </is>
      </c>
      <c r="C87" t="inlineStr">
        <is>
          <t>Föryngringsavverkning</t>
        </is>
      </c>
      <c r="D87" s="1" t="n">
        <v>46043</v>
      </c>
      <c r="E87" s="1" t="n">
        <v>46298</v>
      </c>
      <c r="F87" t="inlineStr">
        <is>
          <t>JÖNKÖPINGS LÄN</t>
        </is>
      </c>
      <c r="G87" t="inlineStr">
        <is>
          <t>HABO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10167-2024</t>
        </is>
      </c>
      <c r="B88" t="inlineStr">
        <is>
          <t>avverkningsanmälan</t>
        </is>
      </c>
      <c r="C88" t="inlineStr">
        <is>
          <t>Föryngringsavverkning</t>
        </is>
      </c>
      <c r="D88" s="1" t="n">
        <v>45364</v>
      </c>
      <c r="E88" s="1" t="n">
        <v>46298</v>
      </c>
      <c r="F88" t="inlineStr">
        <is>
          <t>JÖNKÖPINGS LÄN</t>
        </is>
      </c>
      <c r="G88" t="inlineStr">
        <is>
          <t>HABO</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15802-2023</t>
        </is>
      </c>
      <c r="B89" t="inlineStr">
        <is>
          <t>avverkningsanmälan</t>
        </is>
      </c>
      <c r="C89" t="inlineStr">
        <is>
          <t>Föryngringsavverkning</t>
        </is>
      </c>
      <c r="D89" s="1" t="n">
        <v>45021</v>
      </c>
      <c r="E89" s="1" t="n">
        <v>46298</v>
      </c>
      <c r="F89" t="inlineStr">
        <is>
          <t>JÖNKÖPINGS LÄN</t>
        </is>
      </c>
      <c r="G89" t="inlineStr">
        <is>
          <t>HABO</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12991-2025</t>
        </is>
      </c>
      <c r="B90" t="inlineStr">
        <is>
          <t>avverkningsanmälan</t>
        </is>
      </c>
      <c r="C90" t="inlineStr">
        <is>
          <t>Föryngringsavverkning</t>
        </is>
      </c>
      <c r="D90" s="1" t="n">
        <v>45734</v>
      </c>
      <c r="E90" s="1" t="n">
        <v>46298</v>
      </c>
      <c r="F90" t="inlineStr">
        <is>
          <t>JÖNKÖPINGS LÄN</t>
        </is>
      </c>
      <c r="G90" t="inlineStr">
        <is>
          <t>HABO</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55373-2024</t>
        </is>
      </c>
      <c r="B91" t="inlineStr">
        <is>
          <t>avverkningsanmälan</t>
        </is>
      </c>
      <c r="C91" t="inlineStr">
        <is>
          <t>Föryngringsavverkning</t>
        </is>
      </c>
      <c r="D91" s="1" t="n">
        <v>45621</v>
      </c>
      <c r="E91" s="1" t="n">
        <v>46298</v>
      </c>
      <c r="F91" t="inlineStr">
        <is>
          <t>JÖNKÖPINGS LÄN</t>
        </is>
      </c>
      <c r="G91" t="inlineStr">
        <is>
          <t>HABO</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32545-2022</t>
        </is>
      </c>
      <c r="B92" t="inlineStr">
        <is>
          <t>avverkningsanmälan</t>
        </is>
      </c>
      <c r="C92" t="inlineStr">
        <is>
          <t>Föryngringsavverkning</t>
        </is>
      </c>
      <c r="D92" s="1" t="n">
        <v>44783</v>
      </c>
      <c r="E92" s="1" t="n">
        <v>46298</v>
      </c>
      <c r="F92" t="inlineStr">
        <is>
          <t>JÖNKÖPINGS LÄN</t>
        </is>
      </c>
      <c r="G92" t="inlineStr">
        <is>
          <t>HABO</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45321-2025</t>
        </is>
      </c>
      <c r="B93" t="inlineStr">
        <is>
          <t>avverkningsanmälan</t>
        </is>
      </c>
      <c r="C93" t="inlineStr">
        <is>
          <t>Föryngringsavverkning</t>
        </is>
      </c>
      <c r="D93" s="1" t="n">
        <v>45922</v>
      </c>
      <c r="E93" s="1" t="n">
        <v>46298</v>
      </c>
      <c r="F93" t="inlineStr">
        <is>
          <t>JÖNKÖPINGS LÄN</t>
        </is>
      </c>
      <c r="G93" t="inlineStr">
        <is>
          <t>HABO</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26519-2025</t>
        </is>
      </c>
      <c r="B94" t="inlineStr">
        <is>
          <t>avverkningsanmälan</t>
        </is>
      </c>
      <c r="C94" t="inlineStr">
        <is>
          <t>Föryngringsavverkning</t>
        </is>
      </c>
      <c r="D94" s="1" t="n">
        <v>45807</v>
      </c>
      <c r="E94" s="1" t="n">
        <v>46298</v>
      </c>
      <c r="F94" t="inlineStr">
        <is>
          <t>JÖNKÖPINGS LÄN</t>
        </is>
      </c>
      <c r="G94" t="inlineStr">
        <is>
          <t>HABO</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45322-2025</t>
        </is>
      </c>
      <c r="B95" t="inlineStr">
        <is>
          <t>avverkningsanmälan</t>
        </is>
      </c>
      <c r="C95" t="inlineStr">
        <is>
          <t>Föryngringsavverkning</t>
        </is>
      </c>
      <c r="D95" s="1" t="n">
        <v>45922</v>
      </c>
      <c r="E95" s="1" t="n">
        <v>46298</v>
      </c>
      <c r="F95" t="inlineStr">
        <is>
          <t>JÖNKÖPINGS LÄN</t>
        </is>
      </c>
      <c r="G95" t="inlineStr">
        <is>
          <t>HABO</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5961-2026</t>
        </is>
      </c>
      <c r="B96" t="inlineStr">
        <is>
          <t>avverkningsanmälan</t>
        </is>
      </c>
      <c r="C96" t="inlineStr">
        <is>
          <t>Föryngringsavverkning</t>
        </is>
      </c>
      <c r="D96" s="1" t="n">
        <v>46052</v>
      </c>
      <c r="E96" s="1" t="n">
        <v>46298</v>
      </c>
      <c r="F96" t="inlineStr">
        <is>
          <t>JÖNKÖPINGS LÄN</t>
        </is>
      </c>
      <c r="G96" t="inlineStr">
        <is>
          <t>HABO</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49446-2024</t>
        </is>
      </c>
      <c r="B97" t="inlineStr">
        <is>
          <t>avverkningsanmälan</t>
        </is>
      </c>
      <c r="C97" t="inlineStr">
        <is>
          <t>Föryngringsavverkning</t>
        </is>
      </c>
      <c r="D97" s="1" t="n">
        <v>45595</v>
      </c>
      <c r="E97" s="1" t="n">
        <v>46298</v>
      </c>
      <c r="F97" t="inlineStr">
        <is>
          <t>JÖNKÖPINGS LÄN</t>
        </is>
      </c>
      <c r="G97" t="inlineStr">
        <is>
          <t>HABO</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49449-2024</t>
        </is>
      </c>
      <c r="B98" t="inlineStr">
        <is>
          <t>avverkningsanmälan</t>
        </is>
      </c>
      <c r="C98" t="inlineStr">
        <is>
          <t>Föryngringsavverkning</t>
        </is>
      </c>
      <c r="D98" s="1" t="n">
        <v>45595</v>
      </c>
      <c r="E98" s="1" t="n">
        <v>46298</v>
      </c>
      <c r="F98" t="inlineStr">
        <is>
          <t>JÖNKÖPINGS LÄN</t>
        </is>
      </c>
      <c r="G98" t="inlineStr">
        <is>
          <t>HABO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46589-2025</t>
        </is>
      </c>
      <c r="B99" t="inlineStr">
        <is>
          <t>avverkningsanmälan</t>
        </is>
      </c>
      <c r="C99" t="inlineStr">
        <is>
          <t>Föryngringsavverkning</t>
        </is>
      </c>
      <c r="D99" s="1" t="n">
        <v>45926</v>
      </c>
      <c r="E99" s="1" t="n">
        <v>46298</v>
      </c>
      <c r="F99" t="inlineStr">
        <is>
          <t>JÖNKÖPINGS LÄN</t>
        </is>
      </c>
      <c r="G99" t="inlineStr">
        <is>
          <t>HABO</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16726-2023</t>
        </is>
      </c>
      <c r="B100" t="inlineStr">
        <is>
          <t>avverkningsanmälan</t>
        </is>
      </c>
      <c r="C100" t="inlineStr">
        <is>
          <t>Föryngringsavverkning</t>
        </is>
      </c>
      <c r="D100" s="1" t="n">
        <v>45030</v>
      </c>
      <c r="E100" s="1" t="n">
        <v>46298</v>
      </c>
      <c r="F100" t="inlineStr">
        <is>
          <t>JÖNKÖPINGS LÄN</t>
        </is>
      </c>
      <c r="G100" t="inlineStr">
        <is>
          <t>HABO</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7419-2026</t>
        </is>
      </c>
      <c r="B101" t="inlineStr">
        <is>
          <t>avverkningsanmälan</t>
        </is>
      </c>
      <c r="C101" t="inlineStr">
        <is>
          <t>Föryngringsavverkning</t>
        </is>
      </c>
      <c r="D101" s="1" t="n">
        <v>46059</v>
      </c>
      <c r="E101" s="1" t="n">
        <v>46298</v>
      </c>
      <c r="F101" t="inlineStr">
        <is>
          <t>JÖNKÖPINGS LÄN</t>
        </is>
      </c>
      <c r="G101" t="inlineStr">
        <is>
          <t>HABO</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3710-2023</t>
        </is>
      </c>
      <c r="B102" t="inlineStr">
        <is>
          <t>avverkningsanmälan</t>
        </is>
      </c>
      <c r="C102" t="inlineStr">
        <is>
          <t>Föryngringsavverkning</t>
        </is>
      </c>
      <c r="D102" s="1" t="n">
        <v>44951</v>
      </c>
      <c r="E102" s="1" t="n">
        <v>46298</v>
      </c>
      <c r="F102" t="inlineStr">
        <is>
          <t>JÖNKÖPINGS LÄN</t>
        </is>
      </c>
      <c r="G102" t="inlineStr">
        <is>
          <t>HABO</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47773-2025</t>
        </is>
      </c>
      <c r="B103" t="inlineStr">
        <is>
          <t>avverkningsanmälan</t>
        </is>
      </c>
      <c r="C103" t="inlineStr">
        <is>
          <t>Föryngringsavverkning</t>
        </is>
      </c>
      <c r="D103" s="1" t="n">
        <v>45931</v>
      </c>
      <c r="E103" s="1" t="n">
        <v>46298</v>
      </c>
      <c r="F103" t="inlineStr">
        <is>
          <t>JÖNKÖPINGS LÄN</t>
        </is>
      </c>
      <c r="G103" t="inlineStr">
        <is>
          <t>HABO</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49168-2023</t>
        </is>
      </c>
      <c r="B104" t="inlineStr">
        <is>
          <t>avverkningsanmälan</t>
        </is>
      </c>
      <c r="C104" t="inlineStr">
        <is>
          <t>Föryngringsavverkning</t>
        </is>
      </c>
      <c r="D104" s="1" t="n">
        <v>45210</v>
      </c>
      <c r="E104" s="1" t="n">
        <v>46298</v>
      </c>
      <c r="F104" t="inlineStr">
        <is>
          <t>JÖNKÖPINGS LÄN</t>
        </is>
      </c>
      <c r="G104" t="inlineStr">
        <is>
          <t>HABO</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63922-2023</t>
        </is>
      </c>
      <c r="B105" t="inlineStr">
        <is>
          <t>avverkningsanmälan</t>
        </is>
      </c>
      <c r="C105" t="inlineStr">
        <is>
          <t>Föryngringsavverkning</t>
        </is>
      </c>
      <c r="D105" s="1" t="n">
        <v>45278</v>
      </c>
      <c r="E105" s="1" t="n">
        <v>46298</v>
      </c>
      <c r="F105" t="inlineStr">
        <is>
          <t>JÖNKÖPINGS LÄN</t>
        </is>
      </c>
      <c r="G105" t="inlineStr">
        <is>
          <t>HABO</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27796-2024</t>
        </is>
      </c>
      <c r="B106" t="inlineStr">
        <is>
          <t>avverkningsanmälan</t>
        </is>
      </c>
      <c r="C106" t="inlineStr">
        <is>
          <t>Föryngringsavverkning</t>
        </is>
      </c>
      <c r="D106" s="1" t="n">
        <v>45475</v>
      </c>
      <c r="E106" s="1" t="n">
        <v>46298</v>
      </c>
      <c r="F106" t="inlineStr">
        <is>
          <t>JÖNKÖPINGS LÄN</t>
        </is>
      </c>
      <c r="G106" t="inlineStr">
        <is>
          <t>HABO</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55368-2024</t>
        </is>
      </c>
      <c r="B107" t="inlineStr">
        <is>
          <t>avverkningsanmälan</t>
        </is>
      </c>
      <c r="C107" t="inlineStr">
        <is>
          <t>Avverkning för annat ändamål</t>
        </is>
      </c>
      <c r="D107" s="1" t="n">
        <v>45621</v>
      </c>
      <c r="E107" s="1" t="n">
        <v>46298</v>
      </c>
      <c r="F107" t="inlineStr">
        <is>
          <t>JÖNKÖPINGS LÄN</t>
        </is>
      </c>
      <c r="G107" t="inlineStr">
        <is>
          <t>HABO</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55375-2024</t>
        </is>
      </c>
      <c r="B108" t="inlineStr">
        <is>
          <t>avverkningsanmälan</t>
        </is>
      </c>
      <c r="C108" t="inlineStr">
        <is>
          <t>Föryngringsavverkning</t>
        </is>
      </c>
      <c r="D108" s="1" t="n">
        <v>45621</v>
      </c>
      <c r="E108" s="1" t="n">
        <v>46298</v>
      </c>
      <c r="F108" t="inlineStr">
        <is>
          <t>JÖNKÖPINGS LÄN</t>
        </is>
      </c>
      <c r="G108" t="inlineStr">
        <is>
          <t>HABO</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26881-2025</t>
        </is>
      </c>
      <c r="B109" t="inlineStr">
        <is>
          <t>avverkningsanmälan</t>
        </is>
      </c>
      <c r="C109" t="inlineStr">
        <is>
          <t>Föryngringsavverkning</t>
        </is>
      </c>
      <c r="D109" s="1" t="n">
        <v>45810</v>
      </c>
      <c r="E109" s="1" t="n">
        <v>46298</v>
      </c>
      <c r="F109" t="inlineStr">
        <is>
          <t>JÖNKÖPINGS LÄN</t>
        </is>
      </c>
      <c r="G109" t="inlineStr">
        <is>
          <t>HABO</t>
        </is>
      </c>
      <c r="I109" t="n">
        <v>11.6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57360-2022</t>
        </is>
      </c>
      <c r="B110" t="inlineStr">
        <is>
          <t>avverkningsanmälan</t>
        </is>
      </c>
      <c r="C110" t="inlineStr">
        <is>
          <t>Föryngringsavverkning</t>
        </is>
      </c>
      <c r="D110" s="1" t="n">
        <v>44896</v>
      </c>
      <c r="E110" s="1" t="n">
        <v>46298</v>
      </c>
      <c r="F110" t="inlineStr">
        <is>
          <t>JÖNKÖPINGS LÄN</t>
        </is>
      </c>
      <c r="G110" t="inlineStr">
        <is>
          <t>HABO</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49855-2024</t>
        </is>
      </c>
      <c r="B111" t="inlineStr">
        <is>
          <t>avverkningsanmälan</t>
        </is>
      </c>
      <c r="C111" t="inlineStr">
        <is>
          <t>Föryngringsavverkning</t>
        </is>
      </c>
      <c r="D111" s="1" t="n">
        <v>45597</v>
      </c>
      <c r="E111" s="1" t="n">
        <v>46298</v>
      </c>
      <c r="F111" t="inlineStr">
        <is>
          <t>JÖNKÖPINGS LÄN</t>
        </is>
      </c>
      <c r="G111" t="inlineStr">
        <is>
          <t>HABO</t>
        </is>
      </c>
      <c r="H111" t="inlineStr">
        <is>
          <t>Sveaskog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51447-2025</t>
        </is>
      </c>
      <c r="B112" t="inlineStr">
        <is>
          <t>avverkningsanmälan</t>
        </is>
      </c>
      <c r="C112" t="inlineStr">
        <is>
          <t>Föryngringsavverkning</t>
        </is>
      </c>
      <c r="D112" s="1" t="n">
        <v>45950</v>
      </c>
      <c r="E112" s="1" t="n">
        <v>46298</v>
      </c>
      <c r="F112" t="inlineStr">
        <is>
          <t>JÖNKÖPINGS LÄN</t>
        </is>
      </c>
      <c r="G112" t="inlineStr">
        <is>
          <t>HABO</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51676-2025</t>
        </is>
      </c>
      <c r="B113" t="inlineStr">
        <is>
          <t>avverkningsanmälan</t>
        </is>
      </c>
      <c r="C113" t="inlineStr">
        <is>
          <t>Föryngringsavverkning</t>
        </is>
      </c>
      <c r="D113" s="1" t="n">
        <v>45951</v>
      </c>
      <c r="E113" s="1" t="n">
        <v>46298</v>
      </c>
      <c r="F113" t="inlineStr">
        <is>
          <t>JÖNKÖPINGS LÄN</t>
        </is>
      </c>
      <c r="G113" t="inlineStr">
        <is>
          <t>HABO</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41622-2024</t>
        </is>
      </c>
      <c r="B114" t="inlineStr">
        <is>
          <t>avverkningsanmälan</t>
        </is>
      </c>
      <c r="C114" t="inlineStr">
        <is>
          <t>Föryngringsavverkning</t>
        </is>
      </c>
      <c r="D114" s="1" t="n">
        <v>45560</v>
      </c>
      <c r="E114" s="1" t="n">
        <v>46298</v>
      </c>
      <c r="F114" t="inlineStr">
        <is>
          <t>JÖNKÖPINGS LÄN</t>
        </is>
      </c>
      <c r="G114" t="inlineStr">
        <is>
          <t>HABO</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29733-2023</t>
        </is>
      </c>
      <c r="B115" t="inlineStr">
        <is>
          <t>avverkningsanmälan</t>
        </is>
      </c>
      <c r="C115" t="inlineStr">
        <is>
          <t>Föryngringsavverkning</t>
        </is>
      </c>
      <c r="D115" s="1" t="n">
        <v>45107</v>
      </c>
      <c r="E115" s="1" t="n">
        <v>46298</v>
      </c>
      <c r="F115" t="inlineStr">
        <is>
          <t>JÖNKÖPINGS LÄN</t>
        </is>
      </c>
      <c r="G115" t="inlineStr">
        <is>
          <t>HABO</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35574-2022</t>
        </is>
      </c>
      <c r="B116" t="inlineStr">
        <is>
          <t>avverkningsanmälan</t>
        </is>
      </c>
      <c r="C116" t="inlineStr">
        <is>
          <t>Föryngringsavverkning</t>
        </is>
      </c>
      <c r="D116" s="1" t="n">
        <v>44799</v>
      </c>
      <c r="E116" s="1" t="n">
        <v>46298</v>
      </c>
      <c r="F116" t="inlineStr">
        <is>
          <t>JÖNKÖPINGS LÄN</t>
        </is>
      </c>
      <c r="G116" t="inlineStr">
        <is>
          <t>HABO</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27327-2025</t>
        </is>
      </c>
      <c r="B117" t="inlineStr">
        <is>
          <t>avverkningsanmälan</t>
        </is>
      </c>
      <c r="C117" t="inlineStr">
        <is>
          <t>Föryngringsavverkning</t>
        </is>
      </c>
      <c r="D117" s="1" t="n">
        <v>45812</v>
      </c>
      <c r="E117" s="1" t="n">
        <v>46298</v>
      </c>
      <c r="F117" t="inlineStr">
        <is>
          <t>JÖNKÖPINGS LÄN</t>
        </is>
      </c>
      <c r="G117" t="inlineStr">
        <is>
          <t>HABO</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32539-2023</t>
        </is>
      </c>
      <c r="B118" t="inlineStr">
        <is>
          <t>avverkningsanmälan</t>
        </is>
      </c>
      <c r="C118" t="inlineStr">
        <is>
          <t>Föryngringsavverkning</t>
        </is>
      </c>
      <c r="D118" s="1" t="n">
        <v>45121</v>
      </c>
      <c r="E118" s="1" t="n">
        <v>46298</v>
      </c>
      <c r="F118" t="inlineStr">
        <is>
          <t>JÖNKÖPINGS LÄN</t>
        </is>
      </c>
      <c r="G118" t="inlineStr">
        <is>
          <t>HABO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36036-2023</t>
        </is>
      </c>
      <c r="B119" t="inlineStr">
        <is>
          <t>avverkningsanmälan</t>
        </is>
      </c>
      <c r="C119" t="inlineStr">
        <is>
          <t>Föryngringsavverkning</t>
        </is>
      </c>
      <c r="D119" s="1" t="n">
        <v>45149</v>
      </c>
      <c r="E119" s="1" t="n">
        <v>46298</v>
      </c>
      <c r="F119" t="inlineStr">
        <is>
          <t>JÖNKÖPINGS LÄN</t>
        </is>
      </c>
      <c r="G119" t="inlineStr">
        <is>
          <t>HABO</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28810-2022</t>
        </is>
      </c>
      <c r="B120" t="inlineStr">
        <is>
          <t>avverkningsanmälan</t>
        </is>
      </c>
      <c r="C120" t="inlineStr">
        <is>
          <t>Föryngringsavverkning</t>
        </is>
      </c>
      <c r="D120" s="1" t="n">
        <v>44749</v>
      </c>
      <c r="E120" s="1" t="n">
        <v>46298</v>
      </c>
      <c r="F120" t="inlineStr">
        <is>
          <t>JÖNKÖPINGS LÄN</t>
        </is>
      </c>
      <c r="G120" t="inlineStr">
        <is>
          <t>HABO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28821-2022</t>
        </is>
      </c>
      <c r="B121" t="inlineStr">
        <is>
          <t>avverkningsanmälan</t>
        </is>
      </c>
      <c r="C121" t="inlineStr">
        <is>
          <t>Föryngringsavverkning</t>
        </is>
      </c>
      <c r="D121" s="1" t="n">
        <v>44749</v>
      </c>
      <c r="E121" s="1" t="n">
        <v>46298</v>
      </c>
      <c r="F121" t="inlineStr">
        <is>
          <t>JÖNKÖPINGS LÄN</t>
        </is>
      </c>
      <c r="G121" t="inlineStr">
        <is>
          <t>HABO</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58673-2024</t>
        </is>
      </c>
      <c r="B122" t="inlineStr">
        <is>
          <t>avverkningsanmälan</t>
        </is>
      </c>
      <c r="C122" t="inlineStr">
        <is>
          <t>Föryngringsavverkning</t>
        </is>
      </c>
      <c r="D122" s="1" t="n">
        <v>45635</v>
      </c>
      <c r="E122" s="1" t="n">
        <v>46298</v>
      </c>
      <c r="F122" t="inlineStr">
        <is>
          <t>JÖNKÖPINGS LÄN</t>
        </is>
      </c>
      <c r="G122" t="inlineStr">
        <is>
          <t>HABO</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30350-2023</t>
        </is>
      </c>
      <c r="B123" t="inlineStr">
        <is>
          <t>avverkningsanmälan</t>
        </is>
      </c>
      <c r="C123" t="inlineStr">
        <is>
          <t>Föryngringsavverkning</t>
        </is>
      </c>
      <c r="D123" s="1" t="n">
        <v>45111</v>
      </c>
      <c r="E123" s="1" t="n">
        <v>46298</v>
      </c>
      <c r="F123" t="inlineStr">
        <is>
          <t>JÖNKÖPINGS LÄN</t>
        </is>
      </c>
      <c r="G123" t="inlineStr">
        <is>
          <t>HABO</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55647-2025</t>
        </is>
      </c>
      <c r="B124" t="inlineStr">
        <is>
          <t>avverkningsanmälan</t>
        </is>
      </c>
      <c r="C124" t="inlineStr">
        <is>
          <t>Avverkning för annat ändamål</t>
        </is>
      </c>
      <c r="D124" s="1" t="n">
        <v>45972</v>
      </c>
      <c r="E124" s="1" t="n">
        <v>46298</v>
      </c>
      <c r="F124" t="inlineStr">
        <is>
          <t>JÖNKÖPINGS LÄN</t>
        </is>
      </c>
      <c r="G124" t="inlineStr">
        <is>
          <t>HABO</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56266-2025</t>
        </is>
      </c>
      <c r="B125" t="inlineStr">
        <is>
          <t>avverkningsanmälan</t>
        </is>
      </c>
      <c r="C125" t="inlineStr">
        <is>
          <t>Föryngringsavverkning</t>
        </is>
      </c>
      <c r="D125" s="1" t="n">
        <v>45974</v>
      </c>
      <c r="E125" s="1" t="n">
        <v>46298</v>
      </c>
      <c r="F125" t="inlineStr">
        <is>
          <t>JÖNKÖPINGS LÄN</t>
        </is>
      </c>
      <c r="G125" t="inlineStr">
        <is>
          <t>HABO</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26202-2023</t>
        </is>
      </c>
      <c r="B126" t="inlineStr">
        <is>
          <t>avverkningsanmälan</t>
        </is>
      </c>
      <c r="C126" t="inlineStr">
        <is>
          <t>Föryngringsavverkning</t>
        </is>
      </c>
      <c r="D126" s="1" t="n">
        <v>45091</v>
      </c>
      <c r="E126" s="1" t="n">
        <v>46298</v>
      </c>
      <c r="F126" t="inlineStr">
        <is>
          <t>JÖNKÖPINGS LÄN</t>
        </is>
      </c>
      <c r="G126" t="inlineStr">
        <is>
          <t>HABO</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1915-2025</t>
        </is>
      </c>
      <c r="B127" t="inlineStr">
        <is>
          <t>avverkningsanmälan</t>
        </is>
      </c>
      <c r="C127" t="inlineStr">
        <is>
          <t>Föryngringsavverkning</t>
        </is>
      </c>
      <c r="D127" s="1" t="n">
        <v>45671</v>
      </c>
      <c r="E127" s="1" t="n">
        <v>46298</v>
      </c>
      <c r="F127" t="inlineStr">
        <is>
          <t>JÖNKÖPINGS LÄN</t>
        </is>
      </c>
      <c r="G127" t="inlineStr">
        <is>
          <t>HABO</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28131-2023</t>
        </is>
      </c>
      <c r="B128" t="inlineStr">
        <is>
          <t>avverkningsanmälan</t>
        </is>
      </c>
      <c r="C128" t="inlineStr">
        <is>
          <t>Föryngringsavverkning</t>
        </is>
      </c>
      <c r="D128" s="1" t="n">
        <v>45099</v>
      </c>
      <c r="E128" s="1" t="n">
        <v>46298</v>
      </c>
      <c r="F128" t="inlineStr">
        <is>
          <t>JÖNKÖPINGS LÄN</t>
        </is>
      </c>
      <c r="G128" t="inlineStr">
        <is>
          <t>HABO</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28140-2023</t>
        </is>
      </c>
      <c r="B129" t="inlineStr">
        <is>
          <t>avverkningsanmälan</t>
        </is>
      </c>
      <c r="C129" t="inlineStr">
        <is>
          <t>Föryngringsavverkning</t>
        </is>
      </c>
      <c r="D129" s="1" t="n">
        <v>45099</v>
      </c>
      <c r="E129" s="1" t="n">
        <v>46298</v>
      </c>
      <c r="F129" t="inlineStr">
        <is>
          <t>JÖNKÖPINGS LÄN</t>
        </is>
      </c>
      <c r="G129" t="inlineStr">
        <is>
          <t>HABO</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26774-2024</t>
        </is>
      </c>
      <c r="B130" t="inlineStr">
        <is>
          <t>avverkningsanmälan</t>
        </is>
      </c>
      <c r="C130" t="inlineStr">
        <is>
          <t>Föryngringsavverkning</t>
        </is>
      </c>
      <c r="D130" s="1" t="n">
        <v>45469</v>
      </c>
      <c r="E130" s="1" t="n">
        <v>46298</v>
      </c>
      <c r="F130" t="inlineStr">
        <is>
          <t>JÖNKÖPINGS LÄN</t>
        </is>
      </c>
      <c r="G130" t="inlineStr">
        <is>
          <t>HABO</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61580-2024</t>
        </is>
      </c>
      <c r="B131" t="inlineStr">
        <is>
          <t>avverkningsanmälan</t>
        </is>
      </c>
      <c r="C131" t="inlineStr">
        <is>
          <t>Föryngringsavverkning</t>
        </is>
      </c>
      <c r="D131" s="1" t="n">
        <v>45646</v>
      </c>
      <c r="E131" s="1" t="n">
        <v>46298</v>
      </c>
      <c r="F131" t="inlineStr">
        <is>
          <t>JÖNKÖPINGS LÄN</t>
        </is>
      </c>
      <c r="G131" t="inlineStr">
        <is>
          <t>HABO</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26932-2025</t>
        </is>
      </c>
      <c r="B132" t="inlineStr">
        <is>
          <t>avverkningsanmälan</t>
        </is>
      </c>
      <c r="C132" t="inlineStr">
        <is>
          <t>Avverkning för annat ändamål</t>
        </is>
      </c>
      <c r="D132" s="1" t="n">
        <v>45811</v>
      </c>
      <c r="E132" s="1" t="n">
        <v>46298</v>
      </c>
      <c r="F132" t="inlineStr">
        <is>
          <t>JÖNKÖPINGS LÄN</t>
        </is>
      </c>
      <c r="G132" t="inlineStr">
        <is>
          <t>HABO</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58527-2025</t>
        </is>
      </c>
      <c r="B133" t="inlineStr">
        <is>
          <t>avverkningsanmälan</t>
        </is>
      </c>
      <c r="C133" t="inlineStr">
        <is>
          <t>Föryngringsavverkning</t>
        </is>
      </c>
      <c r="D133" s="1" t="n">
        <v>45985</v>
      </c>
      <c r="E133" s="1" t="n">
        <v>46298</v>
      </c>
      <c r="F133" t="inlineStr">
        <is>
          <t>JÖNKÖPINGS LÄN</t>
        </is>
      </c>
      <c r="G133" t="inlineStr">
        <is>
          <t>HABO</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58528-2025</t>
        </is>
      </c>
      <c r="B134" t="inlineStr">
        <is>
          <t>avverkningsanmälan</t>
        </is>
      </c>
      <c r="C134" t="inlineStr">
        <is>
          <t>Föryngringsavverkning</t>
        </is>
      </c>
      <c r="D134" s="1" t="n">
        <v>45985</v>
      </c>
      <c r="E134" s="1" t="n">
        <v>46298</v>
      </c>
      <c r="F134" t="inlineStr">
        <is>
          <t>JÖNKÖPINGS LÄN</t>
        </is>
      </c>
      <c r="G134" t="inlineStr">
        <is>
          <t>HABO</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58158-2025</t>
        </is>
      </c>
      <c r="B135" t="inlineStr">
        <is>
          <t>avverkningsanmälan</t>
        </is>
      </c>
      <c r="C135" t="inlineStr">
        <is>
          <t>Föryngringsavverkning</t>
        </is>
      </c>
      <c r="D135" s="1" t="n">
        <v>45982</v>
      </c>
      <c r="E135" s="1" t="n">
        <v>46298</v>
      </c>
      <c r="F135" t="inlineStr">
        <is>
          <t>JÖNKÖPINGS LÄN</t>
        </is>
      </c>
      <c r="G135" t="inlineStr">
        <is>
          <t>HABO</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30274-2025</t>
        </is>
      </c>
      <c r="B136" t="inlineStr">
        <is>
          <t>avverkningsanmälan</t>
        </is>
      </c>
      <c r="C136" t="inlineStr">
        <is>
          <t>Föryngringsavverkning</t>
        </is>
      </c>
      <c r="D136" s="1" t="n">
        <v>45827</v>
      </c>
      <c r="E136" s="1" t="n">
        <v>46298</v>
      </c>
      <c r="F136" t="inlineStr">
        <is>
          <t>JÖNKÖPINGS LÄN</t>
        </is>
      </c>
      <c r="G136" t="inlineStr">
        <is>
          <t>HABO</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38779-2022</t>
        </is>
      </c>
      <c r="B137" t="inlineStr">
        <is>
          <t>avverkningsanmälan</t>
        </is>
      </c>
      <c r="C137" t="inlineStr">
        <is>
          <t>Föryngringsavverkning</t>
        </is>
      </c>
      <c r="D137" s="1" t="n">
        <v>44816</v>
      </c>
      <c r="E137" s="1" t="n">
        <v>46298</v>
      </c>
      <c r="F137" t="inlineStr">
        <is>
          <t>JÖNKÖPINGS LÄN</t>
        </is>
      </c>
      <c r="G137" t="inlineStr">
        <is>
          <t>HABO</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45601-2022</t>
        </is>
      </c>
      <c r="B138" t="inlineStr">
        <is>
          <t>avverkningsanmälan</t>
        </is>
      </c>
      <c r="C138" t="inlineStr">
        <is>
          <t>Föryngringsavverkning</t>
        </is>
      </c>
      <c r="D138" s="1" t="n">
        <v>44845</v>
      </c>
      <c r="E138" s="1" t="n">
        <v>46298</v>
      </c>
      <c r="F138" t="inlineStr">
        <is>
          <t>JÖNKÖPINGS LÄN</t>
        </is>
      </c>
      <c r="G138" t="inlineStr">
        <is>
          <t>HABO</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30272-2025</t>
        </is>
      </c>
      <c r="B139" t="inlineStr">
        <is>
          <t>avverkningsanmälan</t>
        </is>
      </c>
      <c r="C139" t="inlineStr">
        <is>
          <t>Föryngringsavverkning</t>
        </is>
      </c>
      <c r="D139" s="1" t="n">
        <v>45827</v>
      </c>
      <c r="E139" s="1" t="n">
        <v>46298</v>
      </c>
      <c r="F139" t="inlineStr">
        <is>
          <t>JÖNKÖPINGS LÄN</t>
        </is>
      </c>
      <c r="G139" t="inlineStr">
        <is>
          <t>HABO</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61275-2025</t>
        </is>
      </c>
      <c r="B140" t="inlineStr">
        <is>
          <t>avverkningsanmälan</t>
        </is>
      </c>
      <c r="C140" t="inlineStr">
        <is>
          <t>Föryngringsavverkning</t>
        </is>
      </c>
      <c r="D140" s="1" t="n">
        <v>46000</v>
      </c>
      <c r="E140" s="1" t="n">
        <v>46298</v>
      </c>
      <c r="F140" t="inlineStr">
        <is>
          <t>JÖNKÖPINGS LÄN</t>
        </is>
      </c>
      <c r="G140" t="inlineStr">
        <is>
          <t>HABO</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61269-2025</t>
        </is>
      </c>
      <c r="B141" t="inlineStr">
        <is>
          <t>avverkningsanmälan</t>
        </is>
      </c>
      <c r="C141" t="inlineStr">
        <is>
          <t>Föryngringsavverkning</t>
        </is>
      </c>
      <c r="D141" s="1" t="n">
        <v>46000</v>
      </c>
      <c r="E141" s="1" t="n">
        <v>46298</v>
      </c>
      <c r="F141" t="inlineStr">
        <is>
          <t>JÖNKÖPINGS LÄN</t>
        </is>
      </c>
      <c r="G141" t="inlineStr">
        <is>
          <t>HABO</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61271-2025</t>
        </is>
      </c>
      <c r="B142" t="inlineStr">
        <is>
          <t>avverkningsanmälan</t>
        </is>
      </c>
      <c r="C142" t="inlineStr">
        <is>
          <t>Föryngringsavverkning</t>
        </is>
      </c>
      <c r="D142" s="1" t="n">
        <v>46000</v>
      </c>
      <c r="E142" s="1" t="n">
        <v>46298</v>
      </c>
      <c r="F142" t="inlineStr">
        <is>
          <t>JÖNKÖPINGS LÄN</t>
        </is>
      </c>
      <c r="G142" t="inlineStr">
        <is>
          <t>HABO</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61273-2025</t>
        </is>
      </c>
      <c r="B143" t="inlineStr">
        <is>
          <t>avverkningsanmälan</t>
        </is>
      </c>
      <c r="C143" t="inlineStr">
        <is>
          <t>Föryngringsavverkning</t>
        </is>
      </c>
      <c r="D143" s="1" t="n">
        <v>46000</v>
      </c>
      <c r="E143" s="1" t="n">
        <v>46298</v>
      </c>
      <c r="F143" t="inlineStr">
        <is>
          <t>JÖNKÖPINGS LÄN</t>
        </is>
      </c>
      <c r="G143" t="inlineStr">
        <is>
          <t>HABO</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17941-2025</t>
        </is>
      </c>
      <c r="B144" t="inlineStr">
        <is>
          <t>avverkningsanmälan</t>
        </is>
      </c>
      <c r="C144" t="inlineStr">
        <is>
          <t>Föryngringsavverkning</t>
        </is>
      </c>
      <c r="D144" s="1" t="n">
        <v>45760</v>
      </c>
      <c r="E144" s="1" t="n">
        <v>46298</v>
      </c>
      <c r="F144" t="inlineStr">
        <is>
          <t>JÖNKÖPINGS LÄN</t>
        </is>
      </c>
      <c r="G144" t="inlineStr">
        <is>
          <t>HABO</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54892-2021</t>
        </is>
      </c>
      <c r="B145" t="inlineStr">
        <is>
          <t>avverkningsanmälan</t>
        </is>
      </c>
      <c r="C145" t="inlineStr">
        <is>
          <t>Föryngringsavverkning</t>
        </is>
      </c>
      <c r="D145" s="1" t="n">
        <v>44474</v>
      </c>
      <c r="E145" s="1" t="n">
        <v>46298</v>
      </c>
      <c r="F145" t="inlineStr">
        <is>
          <t>JÖNKÖPINGS LÄN</t>
        </is>
      </c>
      <c r="G145" t="inlineStr">
        <is>
          <t>HABO</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19735-2026</t>
        </is>
      </c>
      <c r="B146" t="inlineStr">
        <is>
          <t>avverkningsanmälan</t>
        </is>
      </c>
      <c r="C146" t="inlineStr">
        <is>
          <t>Föryngringsavverkning</t>
        </is>
      </c>
      <c r="D146" s="1" t="n">
        <v>46135</v>
      </c>
      <c r="E146" s="1" t="n">
        <v>46298</v>
      </c>
      <c r="F146" t="inlineStr">
        <is>
          <t>JÖNKÖPINGS LÄN</t>
        </is>
      </c>
      <c r="G146" t="inlineStr">
        <is>
          <t>HABO</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6226-2025</t>
        </is>
      </c>
      <c r="B147" t="inlineStr">
        <is>
          <t>avverkningsanmälan</t>
        </is>
      </c>
      <c r="C147" t="inlineStr">
        <is>
          <t>Föryngringsavverkning</t>
        </is>
      </c>
      <c r="D147" s="1" t="n">
        <v>45698</v>
      </c>
      <c r="E147" s="1" t="n">
        <v>46298</v>
      </c>
      <c r="F147" t="inlineStr">
        <is>
          <t>JÖNKÖPINGS LÄN</t>
        </is>
      </c>
      <c r="G147" t="inlineStr">
        <is>
          <t>HABO</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2780-2023</t>
        </is>
      </c>
      <c r="B148" t="inlineStr">
        <is>
          <t>avverkningsanmälan</t>
        </is>
      </c>
      <c r="C148" t="inlineStr">
        <is>
          <t>Föryngringsavverkning</t>
        </is>
      </c>
      <c r="D148" s="1" t="n">
        <v>44944</v>
      </c>
      <c r="E148" s="1" t="n">
        <v>46298</v>
      </c>
      <c r="F148" t="inlineStr">
        <is>
          <t>JÖNKÖPINGS LÄN</t>
        </is>
      </c>
      <c r="G148" t="inlineStr">
        <is>
          <t>HABO</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34452-2025</t>
        </is>
      </c>
      <c r="B149" t="inlineStr">
        <is>
          <t>avverkningsanmälan</t>
        </is>
      </c>
      <c r="C149" t="inlineStr">
        <is>
          <t>Föryngringsavverkning</t>
        </is>
      </c>
      <c r="D149" s="1" t="n">
        <v>45846</v>
      </c>
      <c r="E149" s="1" t="n">
        <v>46298</v>
      </c>
      <c r="F149" t="inlineStr">
        <is>
          <t>JÖNKÖPINGS LÄN</t>
        </is>
      </c>
      <c r="G149" t="inlineStr">
        <is>
          <t>HABO</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54987-2024</t>
        </is>
      </c>
      <c r="B150" t="inlineStr">
        <is>
          <t>avverkningsanmälan</t>
        </is>
      </c>
      <c r="C150" t="inlineStr">
        <is>
          <t>Föryngringsavverkning</t>
        </is>
      </c>
      <c r="D150" s="1" t="n">
        <v>45620</v>
      </c>
      <c r="E150" s="1" t="n">
        <v>46298</v>
      </c>
      <c r="F150" t="inlineStr">
        <is>
          <t>JÖNKÖPINGS LÄN</t>
        </is>
      </c>
      <c r="G150" t="inlineStr">
        <is>
          <t>HABO</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10943-2022</t>
        </is>
      </c>
      <c r="B151" t="inlineStr">
        <is>
          <t>avverkningsanmälan</t>
        </is>
      </c>
      <c r="C151" t="inlineStr">
        <is>
          <t>Föryngringsavverkning</t>
        </is>
      </c>
      <c r="D151" s="1" t="n">
        <v>44628</v>
      </c>
      <c r="E151" s="1" t="n">
        <v>46298</v>
      </c>
      <c r="F151" t="inlineStr">
        <is>
          <t>JÖNKÖPINGS LÄN</t>
        </is>
      </c>
      <c r="G151" t="inlineStr">
        <is>
          <t>HABO</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26882-2025</t>
        </is>
      </c>
      <c r="B152" t="inlineStr">
        <is>
          <t>avverkningsanmälan</t>
        </is>
      </c>
      <c r="C152" t="inlineStr">
        <is>
          <t>Föryngringsavverkning</t>
        </is>
      </c>
      <c r="D152" s="1" t="n">
        <v>45810</v>
      </c>
      <c r="E152" s="1" t="n">
        <v>46298</v>
      </c>
      <c r="F152" t="inlineStr">
        <is>
          <t>JÖNKÖPINGS LÄN</t>
        </is>
      </c>
      <c r="G152" t="inlineStr">
        <is>
          <t>HABO</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1876-2022</t>
        </is>
      </c>
      <c r="B153" t="inlineStr">
        <is>
          <t>avverkningsanmälan</t>
        </is>
      </c>
      <c r="C153" t="inlineStr">
        <is>
          <t>Föryngringsavverkning</t>
        </is>
      </c>
      <c r="D153" s="1" t="n">
        <v>44575</v>
      </c>
      <c r="E153" s="1" t="n">
        <v>46298</v>
      </c>
      <c r="F153" t="inlineStr">
        <is>
          <t>JÖNKÖPINGS LÄN</t>
        </is>
      </c>
      <c r="G153" t="inlineStr">
        <is>
          <t>HABO</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15516-2023</t>
        </is>
      </c>
      <c r="B154" t="inlineStr">
        <is>
          <t>avverkningsanmälan</t>
        </is>
      </c>
      <c r="C154" t="inlineStr">
        <is>
          <t>Föryngringsavverkning</t>
        </is>
      </c>
      <c r="D154" s="1" t="n">
        <v>45020</v>
      </c>
      <c r="E154" s="1" t="n">
        <v>46298</v>
      </c>
      <c r="F154" t="inlineStr">
        <is>
          <t>JÖNKÖPINGS LÄN</t>
        </is>
      </c>
      <c r="G154" t="inlineStr">
        <is>
          <t>HABO</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15518-2023</t>
        </is>
      </c>
      <c r="B155" t="inlineStr">
        <is>
          <t>avverkningsanmälan</t>
        </is>
      </c>
      <c r="C155" t="inlineStr">
        <is>
          <t>Föryngringsavverkning</t>
        </is>
      </c>
      <c r="D155" s="1" t="n">
        <v>45020</v>
      </c>
      <c r="E155" s="1" t="n">
        <v>46298</v>
      </c>
      <c r="F155" t="inlineStr">
        <is>
          <t>JÖNKÖPINGS LÄN</t>
        </is>
      </c>
      <c r="G155" t="inlineStr">
        <is>
          <t>HABO</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28780-2025</t>
        </is>
      </c>
      <c r="B156" t="inlineStr">
        <is>
          <t>avverkningsanmälan</t>
        </is>
      </c>
      <c r="C156" t="inlineStr">
        <is>
          <t>Föryngringsavverkning</t>
        </is>
      </c>
      <c r="D156" s="1" t="n">
        <v>45820</v>
      </c>
      <c r="E156" s="1" t="n">
        <v>46298</v>
      </c>
      <c r="F156" t="inlineStr">
        <is>
          <t>JÖNKÖPINGS LÄN</t>
        </is>
      </c>
      <c r="G156" t="inlineStr">
        <is>
          <t>HABO</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51588-2023</t>
        </is>
      </c>
      <c r="B157" t="inlineStr">
        <is>
          <t>avverkningsanmälan</t>
        </is>
      </c>
      <c r="C157" t="inlineStr">
        <is>
          <t>Avverkning för annat ändamål</t>
        </is>
      </c>
      <c r="D157" s="1" t="n">
        <v>45222</v>
      </c>
      <c r="E157" s="1" t="n">
        <v>46298</v>
      </c>
      <c r="F157" t="inlineStr">
        <is>
          <t>JÖNKÖPINGS LÄN</t>
        </is>
      </c>
      <c r="G157" t="inlineStr">
        <is>
          <t>HABO</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40883-2023</t>
        </is>
      </c>
      <c r="B158" t="inlineStr">
        <is>
          <t>avverkningsanmälan</t>
        </is>
      </c>
      <c r="C158" t="inlineStr">
        <is>
          <t>Föryngringsavverkning</t>
        </is>
      </c>
      <c r="D158" s="1" t="n">
        <v>45173</v>
      </c>
      <c r="E158" s="1" t="n">
        <v>46298</v>
      </c>
      <c r="F158" t="inlineStr">
        <is>
          <t>JÖNKÖPINGS LÄN</t>
        </is>
      </c>
      <c r="G158" t="inlineStr">
        <is>
          <t>HABO</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40638-2024</t>
        </is>
      </c>
      <c r="B159" t="inlineStr">
        <is>
          <t>avverkningsanmälan</t>
        </is>
      </c>
      <c r="C159" t="inlineStr">
        <is>
          <t>Föryngringsavverkning</t>
        </is>
      </c>
      <c r="D159" s="1" t="n">
        <v>45558</v>
      </c>
      <c r="E159" s="1" t="n">
        <v>46298</v>
      </c>
      <c r="F159" t="inlineStr">
        <is>
          <t>JÖNKÖPINGS LÄN</t>
        </is>
      </c>
      <c r="G159" t="inlineStr">
        <is>
          <t>HABO</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56767-2022</t>
        </is>
      </c>
      <c r="B160" t="inlineStr">
        <is>
          <t>avverkningsanmälan</t>
        </is>
      </c>
      <c r="C160" t="inlineStr">
        <is>
          <t>Föryngringsavverkning</t>
        </is>
      </c>
      <c r="D160" s="1" t="n">
        <v>44894</v>
      </c>
      <c r="E160" s="1" t="n">
        <v>46298</v>
      </c>
      <c r="F160" t="inlineStr">
        <is>
          <t>JÖNKÖPINGS LÄN</t>
        </is>
      </c>
      <c r="G160" t="inlineStr">
        <is>
          <t>HABO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26329-2024</t>
        </is>
      </c>
      <c r="B161" t="inlineStr">
        <is>
          <t>avverkningsanmälan</t>
        </is>
      </c>
      <c r="C161" t="inlineStr">
        <is>
          <t>Föryngringsavverkning</t>
        </is>
      </c>
      <c r="D161" s="1" t="n">
        <v>45469</v>
      </c>
      <c r="E161" s="1" t="n">
        <v>46298</v>
      </c>
      <c r="F161" t="inlineStr">
        <is>
          <t>JÖNKÖPINGS LÄN</t>
        </is>
      </c>
      <c r="G161" t="inlineStr">
        <is>
          <t>HABO</t>
        </is>
      </c>
      <c r="H161" t="inlineStr">
        <is>
          <t>Sveaskog</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28813-2022</t>
        </is>
      </c>
      <c r="B162" t="inlineStr">
        <is>
          <t>avverkningsanmälan</t>
        </is>
      </c>
      <c r="C162" t="inlineStr">
        <is>
          <t>Föryngringsavverkning</t>
        </is>
      </c>
      <c r="D162" s="1" t="n">
        <v>44749</v>
      </c>
      <c r="E162" s="1" t="n">
        <v>46298</v>
      </c>
      <c r="F162" t="inlineStr">
        <is>
          <t>JÖNKÖPINGS LÄN</t>
        </is>
      </c>
      <c r="G162" t="inlineStr">
        <is>
          <t>HABO</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28816-2022</t>
        </is>
      </c>
      <c r="B163" t="inlineStr">
        <is>
          <t>avverkningsanmälan</t>
        </is>
      </c>
      <c r="C163" t="inlineStr">
        <is>
          <t>Föryngringsavverkning</t>
        </is>
      </c>
      <c r="D163" s="1" t="n">
        <v>44749</v>
      </c>
      <c r="E163" s="1" t="n">
        <v>46298</v>
      </c>
      <c r="F163" t="inlineStr">
        <is>
          <t>JÖNKÖPINGS LÄN</t>
        </is>
      </c>
      <c r="G163" t="inlineStr">
        <is>
          <t>HABO</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57422-2023</t>
        </is>
      </c>
      <c r="B164" t="inlineStr">
        <is>
          <t>avverkningsanmälan</t>
        </is>
      </c>
      <c r="C164" t="inlineStr">
        <is>
          <t>Föryngringsavverkning</t>
        </is>
      </c>
      <c r="D164" s="1" t="n">
        <v>45246</v>
      </c>
      <c r="E164" s="1" t="n">
        <v>46298</v>
      </c>
      <c r="F164" t="inlineStr">
        <is>
          <t>JÖNKÖPINGS LÄN</t>
        </is>
      </c>
      <c r="G164" t="inlineStr">
        <is>
          <t>HABO</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16458-2025</t>
        </is>
      </c>
      <c r="B165" t="inlineStr">
        <is>
          <t>avverkningsanmälan</t>
        </is>
      </c>
      <c r="C165" t="inlineStr">
        <is>
          <t>Föryngringsavverkning</t>
        </is>
      </c>
      <c r="D165" s="1" t="n">
        <v>45751</v>
      </c>
      <c r="E165" s="1" t="n">
        <v>46298</v>
      </c>
      <c r="F165" t="inlineStr">
        <is>
          <t>JÖNKÖPINGS LÄN</t>
        </is>
      </c>
      <c r="G165" t="inlineStr">
        <is>
          <t>HABO</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16459-2025</t>
        </is>
      </c>
      <c r="B166" t="inlineStr">
        <is>
          <t>avverkningsanmälan</t>
        </is>
      </c>
      <c r="C166" t="inlineStr">
        <is>
          <t>Föryngringsavverkning</t>
        </is>
      </c>
      <c r="D166" s="1" t="n">
        <v>45751</v>
      </c>
      <c r="E166" s="1" t="n">
        <v>46298</v>
      </c>
      <c r="F166" t="inlineStr">
        <is>
          <t>JÖNKÖPINGS LÄN</t>
        </is>
      </c>
      <c r="G166" t="inlineStr">
        <is>
          <t>HABO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11075-2022</t>
        </is>
      </c>
      <c r="B167" t="inlineStr">
        <is>
          <t>avverkningsanmälan</t>
        </is>
      </c>
      <c r="C167" t="inlineStr">
        <is>
          <t>Föryngringsavverkning</t>
        </is>
      </c>
      <c r="D167" s="1" t="n">
        <v>44628</v>
      </c>
      <c r="E167" s="1" t="n">
        <v>46298</v>
      </c>
      <c r="F167" t="inlineStr">
        <is>
          <t>JÖNKÖPINGS LÄN</t>
        </is>
      </c>
      <c r="G167" t="inlineStr">
        <is>
          <t>HABO</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28135-2023</t>
        </is>
      </c>
      <c r="B168" t="inlineStr">
        <is>
          <t>avverkningsanmälan</t>
        </is>
      </c>
      <c r="C168" t="inlineStr">
        <is>
          <t>Föryngringsavverkning</t>
        </is>
      </c>
      <c r="D168" s="1" t="n">
        <v>45099</v>
      </c>
      <c r="E168" s="1" t="n">
        <v>46298</v>
      </c>
      <c r="F168" t="inlineStr">
        <is>
          <t>JÖNKÖPINGS LÄN</t>
        </is>
      </c>
      <c r="G168" t="inlineStr">
        <is>
          <t>HABO</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19370-2024</t>
        </is>
      </c>
      <c r="B169" t="inlineStr">
        <is>
          <t>avverkningsanmälan</t>
        </is>
      </c>
      <c r="C169" t="inlineStr">
        <is>
          <t>Föryngringsavverkning</t>
        </is>
      </c>
      <c r="D169" s="1" t="n">
        <v>45429</v>
      </c>
      <c r="E169" s="1" t="n">
        <v>46298</v>
      </c>
      <c r="F169" t="inlineStr">
        <is>
          <t>JÖNKÖPINGS LÄN</t>
        </is>
      </c>
      <c r="G169" t="inlineStr">
        <is>
          <t>HABO</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15252-2024</t>
        </is>
      </c>
      <c r="B170" t="inlineStr">
        <is>
          <t>avverkningsanmälan</t>
        </is>
      </c>
      <c r="C170" t="inlineStr">
        <is>
          <t>Föryngringsavverkning</t>
        </is>
      </c>
      <c r="D170" s="1" t="n">
        <v>45400</v>
      </c>
      <c r="E170" s="1" t="n">
        <v>46298</v>
      </c>
      <c r="F170" t="inlineStr">
        <is>
          <t>JÖNKÖPINGS LÄN</t>
        </is>
      </c>
      <c r="G170" t="inlineStr">
        <is>
          <t>HABO</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44158-2023</t>
        </is>
      </c>
      <c r="B171" t="inlineStr">
        <is>
          <t>avverkningsanmälan</t>
        </is>
      </c>
      <c r="C171" t="inlineStr">
        <is>
          <t>Föryngringsavverkning</t>
        </is>
      </c>
      <c r="D171" s="1" t="n">
        <v>45188</v>
      </c>
      <c r="E171" s="1" t="n">
        <v>46298</v>
      </c>
      <c r="F171" t="inlineStr">
        <is>
          <t>JÖNKÖPINGS LÄN</t>
        </is>
      </c>
      <c r="G171" t="inlineStr">
        <is>
          <t>HABO</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23152-2024</t>
        </is>
      </c>
      <c r="B172" t="inlineStr">
        <is>
          <t>avverkningsanmälan</t>
        </is>
      </c>
      <c r="C172" t="inlineStr">
        <is>
          <t>Föryngringsavverkning</t>
        </is>
      </c>
      <c r="D172" s="1" t="n">
        <v>45450</v>
      </c>
      <c r="E172" s="1" t="n">
        <v>46298</v>
      </c>
      <c r="F172" t="inlineStr">
        <is>
          <t>JÖNKÖPINGS LÄN</t>
        </is>
      </c>
      <c r="G172" t="inlineStr">
        <is>
          <t>HABO</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49846-2024</t>
        </is>
      </c>
      <c r="B173" t="inlineStr">
        <is>
          <t>avverkningsanmälan</t>
        </is>
      </c>
      <c r="C173" t="inlineStr">
        <is>
          <t>Föryngringsavverkning</t>
        </is>
      </c>
      <c r="D173" s="1" t="n">
        <v>45597</v>
      </c>
      <c r="E173" s="1" t="n">
        <v>46298</v>
      </c>
      <c r="F173" t="inlineStr">
        <is>
          <t>JÖNKÖPINGS LÄN</t>
        </is>
      </c>
      <c r="G173" t="inlineStr">
        <is>
          <t>HABO</t>
        </is>
      </c>
      <c r="H173" t="inlineStr">
        <is>
          <t>Sveaskog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7754-2025</t>
        </is>
      </c>
      <c r="B174" t="inlineStr">
        <is>
          <t>avverkningsanmälan</t>
        </is>
      </c>
      <c r="C174" t="inlineStr">
        <is>
          <t>Föryngringsavverkning</t>
        </is>
      </c>
      <c r="D174" s="1" t="n">
        <v>45706</v>
      </c>
      <c r="E174" s="1" t="n">
        <v>46298</v>
      </c>
      <c r="F174" t="inlineStr">
        <is>
          <t>JÖNKÖPINGS LÄN</t>
        </is>
      </c>
      <c r="G174" t="inlineStr">
        <is>
          <t>HABO</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32252-2023</t>
        </is>
      </c>
      <c r="B175" t="inlineStr">
        <is>
          <t>avverkningsanmälan</t>
        </is>
      </c>
      <c r="C175" t="inlineStr">
        <is>
          <t>Föryngringsavverkning</t>
        </is>
      </c>
      <c r="D175" s="1" t="n">
        <v>45120</v>
      </c>
      <c r="E175" s="1" t="n">
        <v>46298</v>
      </c>
      <c r="F175" t="inlineStr">
        <is>
          <t>JÖNKÖPINGS LÄN</t>
        </is>
      </c>
      <c r="G175" t="inlineStr">
        <is>
          <t>HABO</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28690-2024</t>
        </is>
      </c>
      <c r="B176" t="inlineStr">
        <is>
          <t>avverkningsanmälan</t>
        </is>
      </c>
      <c r="C176" t="inlineStr">
        <is>
          <t>Föryngringsavverkning</t>
        </is>
      </c>
      <c r="D176" s="1" t="n">
        <v>45478</v>
      </c>
      <c r="E176" s="1" t="n">
        <v>46298</v>
      </c>
      <c r="F176" t="inlineStr">
        <is>
          <t>JÖNKÖPINGS LÄN</t>
        </is>
      </c>
      <c r="G176" t="inlineStr">
        <is>
          <t>HABO</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46551-2025</t>
        </is>
      </c>
      <c r="B177" t="inlineStr">
        <is>
          <t>avverkningsanmälan</t>
        </is>
      </c>
      <c r="C177" t="inlineStr">
        <is>
          <t>Föryngringsavverkning</t>
        </is>
      </c>
      <c r="D177" s="1" t="n">
        <v>45926</v>
      </c>
      <c r="E177" s="1" t="n">
        <v>46298</v>
      </c>
      <c r="F177" t="inlineStr">
        <is>
          <t>JÖNKÖPINGS LÄN</t>
        </is>
      </c>
      <c r="G177" t="inlineStr">
        <is>
          <t>HABO</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15517-2023</t>
        </is>
      </c>
      <c r="B178" t="inlineStr">
        <is>
          <t>avverkningsanmälan</t>
        </is>
      </c>
      <c r="C178" t="inlineStr">
        <is>
          <t>Föryngringsavverkning</t>
        </is>
      </c>
      <c r="D178" s="1" t="n">
        <v>45020</v>
      </c>
      <c r="E178" s="1" t="n">
        <v>46298</v>
      </c>
      <c r="F178" t="inlineStr">
        <is>
          <t>JÖNKÖPINGS LÄN</t>
        </is>
      </c>
      <c r="G178" t="inlineStr">
        <is>
          <t>HABO</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37438-2025</t>
        </is>
      </c>
      <c r="B179" t="inlineStr">
        <is>
          <t>avverkningsanmälan</t>
        </is>
      </c>
      <c r="C179" t="inlineStr">
        <is>
          <t>Föryngringsavverkning</t>
        </is>
      </c>
      <c r="D179" s="1" t="n">
        <v>45877</v>
      </c>
      <c r="E179" s="1" t="n">
        <v>46298</v>
      </c>
      <c r="F179" t="inlineStr">
        <is>
          <t>JÖNKÖPINGS LÄN</t>
        </is>
      </c>
      <c r="G179" t="inlineStr">
        <is>
          <t>HABO</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6230-2025</t>
        </is>
      </c>
      <c r="B180" t="inlineStr">
        <is>
          <t>avverkningsanmälan</t>
        </is>
      </c>
      <c r="C180" t="inlineStr">
        <is>
          <t>Föryngringsavverkning</t>
        </is>
      </c>
      <c r="D180" s="1" t="n">
        <v>45698</v>
      </c>
      <c r="E180" s="1" t="n">
        <v>46298</v>
      </c>
      <c r="F180" t="inlineStr">
        <is>
          <t>JÖNKÖPINGS LÄN</t>
        </is>
      </c>
      <c r="G180" t="inlineStr">
        <is>
          <t>HABO</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6233-2025</t>
        </is>
      </c>
      <c r="B181" t="inlineStr">
        <is>
          <t>avverkningsanmälan</t>
        </is>
      </c>
      <c r="C181" t="inlineStr">
        <is>
          <t>Föryngringsavverkning</t>
        </is>
      </c>
      <c r="D181" s="1" t="n">
        <v>45698</v>
      </c>
      <c r="E181" s="1" t="n">
        <v>46298</v>
      </c>
      <c r="F181" t="inlineStr">
        <is>
          <t>JÖNKÖPINGS LÄN</t>
        </is>
      </c>
      <c r="G181" t="inlineStr">
        <is>
          <t>HABO</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49433-2024</t>
        </is>
      </c>
      <c r="B182" t="inlineStr">
        <is>
          <t>avverkningsanmälan</t>
        </is>
      </c>
      <c r="C182" t="inlineStr">
        <is>
          <t>Föryngringsavverkning</t>
        </is>
      </c>
      <c r="D182" s="1" t="n">
        <v>45595</v>
      </c>
      <c r="E182" s="1" t="n">
        <v>46298</v>
      </c>
      <c r="F182" t="inlineStr">
        <is>
          <t>JÖNKÖPINGS LÄN</t>
        </is>
      </c>
      <c r="G182" t="inlineStr">
        <is>
          <t>HABO</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60583-2025</t>
        </is>
      </c>
      <c r="B183" t="inlineStr">
        <is>
          <t>avverkningsanmälan</t>
        </is>
      </c>
      <c r="C183" t="inlineStr">
        <is>
          <t>Avverkning för annat ändamål</t>
        </is>
      </c>
      <c r="D183" s="1" t="n">
        <v>45996</v>
      </c>
      <c r="E183" s="1" t="n">
        <v>46298</v>
      </c>
      <c r="F183" t="inlineStr">
        <is>
          <t>JÖNKÖPINGS LÄN</t>
        </is>
      </c>
      <c r="G183" t="inlineStr">
        <is>
          <t>HABO</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60583-2025</t>
        </is>
      </c>
      <c r="B184" t="inlineStr">
        <is>
          <t>avverkningsanmälan</t>
        </is>
      </c>
      <c r="C184" t="inlineStr">
        <is>
          <t>Avverkning för annat ändamål</t>
        </is>
      </c>
      <c r="D184" s="1" t="n">
        <v>45996</v>
      </c>
      <c r="E184" s="1" t="n">
        <v>46298</v>
      </c>
      <c r="F184" t="inlineStr">
        <is>
          <t>JÖNKÖPINGS LÄN</t>
        </is>
      </c>
      <c r="G184" t="inlineStr">
        <is>
          <t>HABO</t>
        </is>
      </c>
      <c r="I184" t="n">
        <v>4.7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35148-2022</t>
        </is>
      </c>
      <c r="B185" t="inlineStr">
        <is>
          <t>avverkningsanmälan</t>
        </is>
      </c>
      <c r="C185" t="inlineStr">
        <is>
          <t>Föryngringsavverkning</t>
        </is>
      </c>
      <c r="D185" s="1" t="n">
        <v>44797</v>
      </c>
      <c r="E185" s="1" t="n">
        <v>46298</v>
      </c>
      <c r="F185" t="inlineStr">
        <is>
          <t>JÖNKÖPINGS LÄN</t>
        </is>
      </c>
      <c r="G185" t="inlineStr">
        <is>
          <t>HABO</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24606-2026</t>
        </is>
      </c>
      <c r="B186" t="inlineStr">
        <is>
          <t>avverkningsanmälan</t>
        </is>
      </c>
      <c r="C186" t="inlineStr">
        <is>
          <t>Föryngringsavverkning</t>
        </is>
      </c>
      <c r="D186" s="1" t="n">
        <v>46171</v>
      </c>
      <c r="E186" s="1" t="n">
        <v>46298</v>
      </c>
      <c r="F186" t="inlineStr">
        <is>
          <t>JÖNKÖPINGS LÄN</t>
        </is>
      </c>
      <c r="G186" t="inlineStr">
        <is>
          <t>HABO</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60726-2022</t>
        </is>
      </c>
      <c r="B187" t="inlineStr">
        <is>
          <t>avverkningsanmälan</t>
        </is>
      </c>
      <c r="C187" t="inlineStr">
        <is>
          <t>Föryngringsavverkning</t>
        </is>
      </c>
      <c r="D187" s="1" t="n">
        <v>44913</v>
      </c>
      <c r="E187" s="1" t="n">
        <v>46298</v>
      </c>
      <c r="F187" t="inlineStr">
        <is>
          <t>JÖNKÖPINGS LÄN</t>
        </is>
      </c>
      <c r="G187" t="inlineStr">
        <is>
          <t>HABO</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38065-2025</t>
        </is>
      </c>
      <c r="B188" t="inlineStr">
        <is>
          <t>avverkningsanmälan</t>
        </is>
      </c>
      <c r="C188" t="inlineStr">
        <is>
          <t>Föryngringsavverkning</t>
        </is>
      </c>
      <c r="D188" s="1" t="n">
        <v>45882</v>
      </c>
      <c r="E188" s="1" t="n">
        <v>46298</v>
      </c>
      <c r="F188" t="inlineStr">
        <is>
          <t>JÖNKÖPINGS LÄN</t>
        </is>
      </c>
      <c r="G188" t="inlineStr">
        <is>
          <t>HABO</t>
        </is>
      </c>
      <c r="H188" t="inlineStr">
        <is>
          <t>Allmännings- och besparingsskogar</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38125-2025</t>
        </is>
      </c>
      <c r="B189" t="inlineStr">
        <is>
          <t>avverkningsanmälan</t>
        </is>
      </c>
      <c r="C189" t="inlineStr">
        <is>
          <t>Föryngringsavverkning</t>
        </is>
      </c>
      <c r="D189" s="1" t="n">
        <v>45882</v>
      </c>
      <c r="E189" s="1" t="n">
        <v>46298</v>
      </c>
      <c r="F189" t="inlineStr">
        <is>
          <t>JÖNKÖPINGS LÄN</t>
        </is>
      </c>
      <c r="G189" t="inlineStr">
        <is>
          <t>HABO</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65067-2023</t>
        </is>
      </c>
      <c r="B190" t="inlineStr">
        <is>
          <t>avverkningsanmälan</t>
        </is>
      </c>
      <c r="C190" t="inlineStr">
        <is>
          <t>Föryngringsavverkning</t>
        </is>
      </c>
      <c r="D190" s="1" t="n">
        <v>45287</v>
      </c>
      <c r="E190" s="1" t="n">
        <v>46298</v>
      </c>
      <c r="F190" t="inlineStr">
        <is>
          <t>JÖNKÖPINGS LÄN</t>
        </is>
      </c>
      <c r="G190" t="inlineStr">
        <is>
          <t>HABO</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38122-2025</t>
        </is>
      </c>
      <c r="B191" t="inlineStr">
        <is>
          <t>avverkningsanmälan</t>
        </is>
      </c>
      <c r="C191" t="inlineStr">
        <is>
          <t>Föryngringsavverkning</t>
        </is>
      </c>
      <c r="D191" s="1" t="n">
        <v>45882</v>
      </c>
      <c r="E191" s="1" t="n">
        <v>46298</v>
      </c>
      <c r="F191" t="inlineStr">
        <is>
          <t>JÖNKÖPINGS LÄN</t>
        </is>
      </c>
      <c r="G191" t="inlineStr">
        <is>
          <t>HABO</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17845-2024</t>
        </is>
      </c>
      <c r="B192" t="inlineStr">
        <is>
          <t>avverkningsanmälan</t>
        </is>
      </c>
      <c r="C192" t="inlineStr">
        <is>
          <t>Föryngringsavverkning</t>
        </is>
      </c>
      <c r="D192" s="1" t="n">
        <v>45419</v>
      </c>
      <c r="E192" s="1" t="n">
        <v>46298</v>
      </c>
      <c r="F192" t="inlineStr">
        <is>
          <t>JÖNKÖPINGS LÄN</t>
        </is>
      </c>
      <c r="G192" t="inlineStr">
        <is>
          <t>HABO</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25353-2026</t>
        </is>
      </c>
      <c r="B193" t="inlineStr">
        <is>
          <t>avverkningsanmälan</t>
        </is>
      </c>
      <c r="C193" t="inlineStr">
        <is>
          <t>Avverkning för annat ändamål</t>
        </is>
      </c>
      <c r="D193" s="1" t="n">
        <v>46176</v>
      </c>
      <c r="E193" s="1" t="n">
        <v>46298</v>
      </c>
      <c r="F193" t="inlineStr">
        <is>
          <t>JÖNKÖPINGS LÄN</t>
        </is>
      </c>
      <c r="G193" t="inlineStr">
        <is>
          <t>HABO</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54288-2024</t>
        </is>
      </c>
      <c r="B194" t="inlineStr">
        <is>
          <t>avverkningsanmälan</t>
        </is>
      </c>
      <c r="C194" t="inlineStr">
        <is>
          <t>Föryngringsavverkning</t>
        </is>
      </c>
      <c r="D194" s="1" t="n">
        <v>45617</v>
      </c>
      <c r="E194" s="1" t="n">
        <v>46298</v>
      </c>
      <c r="F194" t="inlineStr">
        <is>
          <t>JÖNKÖPINGS LÄN</t>
        </is>
      </c>
      <c r="G194" t="inlineStr">
        <is>
          <t>HABO</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38069-2025</t>
        </is>
      </c>
      <c r="B195" t="inlineStr">
        <is>
          <t>avverkningsanmälan</t>
        </is>
      </c>
      <c r="C195" t="inlineStr">
        <is>
          <t>Föryngringsavverkning</t>
        </is>
      </c>
      <c r="D195" s="1" t="n">
        <v>45882</v>
      </c>
      <c r="E195" s="1" t="n">
        <v>46298</v>
      </c>
      <c r="F195" t="inlineStr">
        <is>
          <t>JÖNKÖPINGS LÄN</t>
        </is>
      </c>
      <c r="G195" t="inlineStr">
        <is>
          <t>HABO</t>
        </is>
      </c>
      <c r="H195" t="inlineStr">
        <is>
          <t>Allmännings- och besparingsskogar</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16149-2025</t>
        </is>
      </c>
      <c r="B196" t="inlineStr">
        <is>
          <t>avverkningsanmälan</t>
        </is>
      </c>
      <c r="C196" t="inlineStr">
        <is>
          <t>Föryngringsavverkning</t>
        </is>
      </c>
      <c r="D196" s="1" t="n">
        <v>45750</v>
      </c>
      <c r="E196" s="1" t="n">
        <v>46298</v>
      </c>
      <c r="F196" t="inlineStr">
        <is>
          <t>JÖNKÖPINGS LÄN</t>
        </is>
      </c>
      <c r="G196" t="inlineStr">
        <is>
          <t>HABO</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62745-2023</t>
        </is>
      </c>
      <c r="B197" t="inlineStr">
        <is>
          <t>avverkningsanmälan</t>
        </is>
      </c>
      <c r="C197" t="inlineStr">
        <is>
          <t>Föryngringsavverkning</t>
        </is>
      </c>
      <c r="D197" s="1" t="n">
        <v>45271</v>
      </c>
      <c r="E197" s="1" t="n">
        <v>46298</v>
      </c>
      <c r="F197" t="inlineStr">
        <is>
          <t>JÖNKÖPINGS LÄN</t>
        </is>
      </c>
      <c r="G197" t="inlineStr">
        <is>
          <t>HABO</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59440-2024</t>
        </is>
      </c>
      <c r="B198" t="inlineStr">
        <is>
          <t>avverkningsanmälan</t>
        </is>
      </c>
      <c r="C198" t="inlineStr">
        <is>
          <t>Föryngringsavverkning</t>
        </is>
      </c>
      <c r="D198" s="1" t="n">
        <v>45638</v>
      </c>
      <c r="E198" s="1" t="n">
        <v>46298</v>
      </c>
      <c r="F198" t="inlineStr">
        <is>
          <t>JÖNKÖPINGS LÄN</t>
        </is>
      </c>
      <c r="G198" t="inlineStr">
        <is>
          <t>HABO</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23148-2024</t>
        </is>
      </c>
      <c r="B199" t="inlineStr">
        <is>
          <t>avverkningsanmälan</t>
        </is>
      </c>
      <c r="C199" t="inlineStr">
        <is>
          <t>Föryngringsavverkning</t>
        </is>
      </c>
      <c r="D199" s="1" t="n">
        <v>45450</v>
      </c>
      <c r="E199" s="1" t="n">
        <v>46298</v>
      </c>
      <c r="F199" t="inlineStr">
        <is>
          <t>JÖNKÖPINGS LÄN</t>
        </is>
      </c>
      <c r="G199" t="inlineStr">
        <is>
          <t>HABO</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23153-2024</t>
        </is>
      </c>
      <c r="B200" t="inlineStr">
        <is>
          <t>avverkningsanmälan</t>
        </is>
      </c>
      <c r="C200" t="inlineStr">
        <is>
          <t>Föryngringsavverkning</t>
        </is>
      </c>
      <c r="D200" s="1" t="n">
        <v>45450</v>
      </c>
      <c r="E200" s="1" t="n">
        <v>46298</v>
      </c>
      <c r="F200" t="inlineStr">
        <is>
          <t>JÖNKÖPINGS LÄN</t>
        </is>
      </c>
      <c r="G200" t="inlineStr">
        <is>
          <t>HABO</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27841-2026</t>
        </is>
      </c>
      <c r="B201" t="inlineStr">
        <is>
          <t>avverkningsanmälan</t>
        </is>
      </c>
      <c r="C201" t="inlineStr">
        <is>
          <t>Föryngringsavverkning</t>
        </is>
      </c>
      <c r="D201" s="1" t="n">
        <v>46191</v>
      </c>
      <c r="E201" s="1" t="n">
        <v>46298</v>
      </c>
      <c r="F201" t="inlineStr">
        <is>
          <t>JÖNKÖPINGS LÄN</t>
        </is>
      </c>
      <c r="G201" t="inlineStr">
        <is>
          <t>HABO</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27852-2026</t>
        </is>
      </c>
      <c r="B202" t="inlineStr">
        <is>
          <t>avverkningsanmälan</t>
        </is>
      </c>
      <c r="C202" t="inlineStr">
        <is>
          <t>Föryngringsavverkning</t>
        </is>
      </c>
      <c r="D202" s="1" t="n">
        <v>46191</v>
      </c>
      <c r="E202" s="1" t="n">
        <v>46298</v>
      </c>
      <c r="F202" t="inlineStr">
        <is>
          <t>JÖNKÖPINGS LÄN</t>
        </is>
      </c>
      <c r="G202" t="inlineStr">
        <is>
          <t>HABO</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27838-2026</t>
        </is>
      </c>
      <c r="B203" t="inlineStr">
        <is>
          <t>avverkningsanmälan</t>
        </is>
      </c>
      <c r="C203" t="inlineStr">
        <is>
          <t>Föryngringsavverkning</t>
        </is>
      </c>
      <c r="D203" s="1" t="n">
        <v>46191</v>
      </c>
      <c r="E203" s="1" t="n">
        <v>46298</v>
      </c>
      <c r="F203" t="inlineStr">
        <is>
          <t>JÖNKÖPINGS LÄN</t>
        </is>
      </c>
      <c r="G203" t="inlineStr">
        <is>
          <t>HABO</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27858-2026</t>
        </is>
      </c>
      <c r="B204" t="inlineStr">
        <is>
          <t>avverkningsanmälan</t>
        </is>
      </c>
      <c r="C204" t="inlineStr">
        <is>
          <t>Föryngringsavverkning</t>
        </is>
      </c>
      <c r="D204" s="1" t="n">
        <v>46191</v>
      </c>
      <c r="E204" s="1" t="n">
        <v>46298</v>
      </c>
      <c r="F204" t="inlineStr">
        <is>
          <t>JÖNKÖPINGS LÄN</t>
        </is>
      </c>
      <c r="G204" t="inlineStr">
        <is>
          <t>HABO</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45277-2024</t>
        </is>
      </c>
      <c r="B205" t="inlineStr">
        <is>
          <t>avverkningsanmälan</t>
        </is>
      </c>
      <c r="C205" t="inlineStr">
        <is>
          <t>Föryngringsavverkning</t>
        </is>
      </c>
      <c r="D205" s="1" t="n">
        <v>45576</v>
      </c>
      <c r="E205" s="1" t="n">
        <v>46298</v>
      </c>
      <c r="F205" t="inlineStr">
        <is>
          <t>JÖNKÖPINGS LÄN</t>
        </is>
      </c>
      <c r="G205" t="inlineStr">
        <is>
          <t>HABO</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43160-2023</t>
        </is>
      </c>
      <c r="B206" t="inlineStr">
        <is>
          <t>avverkningsanmälan</t>
        </is>
      </c>
      <c r="C206" t="inlineStr">
        <is>
          <t>Föryngringsavverkning</t>
        </is>
      </c>
      <c r="D206" s="1" t="n">
        <v>45183</v>
      </c>
      <c r="E206" s="1" t="n">
        <v>46298</v>
      </c>
      <c r="F206" t="inlineStr">
        <is>
          <t>JÖNKÖPINGS LÄN</t>
        </is>
      </c>
      <c r="G206" t="inlineStr">
        <is>
          <t>HABO</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62764-2023</t>
        </is>
      </c>
      <c r="B207" t="inlineStr">
        <is>
          <t>avverkningsanmälan</t>
        </is>
      </c>
      <c r="C207" t="inlineStr">
        <is>
          <t>Föryngringsavverkning</t>
        </is>
      </c>
      <c r="D207" s="1" t="n">
        <v>45271</v>
      </c>
      <c r="E207" s="1" t="n">
        <v>46298</v>
      </c>
      <c r="F207" t="inlineStr">
        <is>
          <t>JÖNKÖPINGS LÄN</t>
        </is>
      </c>
      <c r="G207" t="inlineStr">
        <is>
          <t>HABO</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53264-2022</t>
        </is>
      </c>
      <c r="B208" t="inlineStr">
        <is>
          <t>avverkningsanmälan</t>
        </is>
      </c>
      <c r="C208" t="inlineStr">
        <is>
          <t>Föryngringsavverkning</t>
        </is>
      </c>
      <c r="D208" s="1" t="n">
        <v>44876</v>
      </c>
      <c r="E208" s="1" t="n">
        <v>46298</v>
      </c>
      <c r="F208" t="inlineStr">
        <is>
          <t>JÖNKÖPINGS LÄN</t>
        </is>
      </c>
      <c r="G208" t="inlineStr">
        <is>
          <t>HABO</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29496-2026</t>
        </is>
      </c>
      <c r="B209" t="inlineStr">
        <is>
          <t>avverkningsanmälan</t>
        </is>
      </c>
      <c r="C209" t="inlineStr">
        <is>
          <t>Föryngringsavverkning</t>
        </is>
      </c>
      <c r="D209" s="1" t="n">
        <v>46203</v>
      </c>
      <c r="E209" s="1" t="n">
        <v>46298</v>
      </c>
      <c r="F209" t="inlineStr">
        <is>
          <t>JÖNKÖPINGS LÄN</t>
        </is>
      </c>
      <c r="G209" t="inlineStr">
        <is>
          <t>HABO</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56289-2023</t>
        </is>
      </c>
      <c r="B210" t="inlineStr">
        <is>
          <t>avverkningsanmälan</t>
        </is>
      </c>
      <c r="C210" t="inlineStr">
        <is>
          <t>Föryngringsavverkning</t>
        </is>
      </c>
      <c r="D210" s="1" t="n">
        <v>45242</v>
      </c>
      <c r="E210" s="1" t="n">
        <v>46298</v>
      </c>
      <c r="F210" t="inlineStr">
        <is>
          <t>JÖNKÖPINGS LÄN</t>
        </is>
      </c>
      <c r="G210" t="inlineStr">
        <is>
          <t>HABO</t>
        </is>
      </c>
      <c r="H210" t="inlineStr">
        <is>
          <t>Kyrkan</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29492-2026</t>
        </is>
      </c>
      <c r="B211" t="inlineStr">
        <is>
          <t>avverkningsanmälan</t>
        </is>
      </c>
      <c r="C211" t="inlineStr">
        <is>
          <t>Föryngringsavverkning</t>
        </is>
      </c>
      <c r="D211" s="1" t="n">
        <v>46203</v>
      </c>
      <c r="E211" s="1" t="n">
        <v>46298</v>
      </c>
      <c r="F211" t="inlineStr">
        <is>
          <t>JÖNKÖPINGS LÄN</t>
        </is>
      </c>
      <c r="G211" t="inlineStr">
        <is>
          <t>HABO</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41910-2022</t>
        </is>
      </c>
      <c r="B212" t="inlineStr">
        <is>
          <t>avverkningsanmälan</t>
        </is>
      </c>
      <c r="C212" t="inlineStr">
        <is>
          <t>Föryngringsavverkning</t>
        </is>
      </c>
      <c r="D212" s="1" t="n">
        <v>44830</v>
      </c>
      <c r="E212" s="1" t="n">
        <v>46298</v>
      </c>
      <c r="F212" t="inlineStr">
        <is>
          <t>JÖNKÖPINGS LÄN</t>
        </is>
      </c>
      <c r="G212" t="inlineStr">
        <is>
          <t>HABO</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29335-2026</t>
        </is>
      </c>
      <c r="B213" t="inlineStr">
        <is>
          <t>avverkningsanmälan</t>
        </is>
      </c>
      <c r="C213" t="inlineStr">
        <is>
          <t>Föryngringsavverkning</t>
        </is>
      </c>
      <c r="D213" s="1" t="n">
        <v>46202</v>
      </c>
      <c r="E213" s="1" t="n">
        <v>46298</v>
      </c>
      <c r="F213" t="inlineStr">
        <is>
          <t>JÖNKÖPINGS LÄN</t>
        </is>
      </c>
      <c r="G213" t="inlineStr">
        <is>
          <t>HABO</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2861-2025</t>
        </is>
      </c>
      <c r="B214" t="inlineStr">
        <is>
          <t>avverkningsanmälan</t>
        </is>
      </c>
      <c r="C214" t="inlineStr">
        <is>
          <t>Föryngringsavverkning</t>
        </is>
      </c>
      <c r="D214" s="1" t="n">
        <v>45677</v>
      </c>
      <c r="E214" s="1" t="n">
        <v>46298</v>
      </c>
      <c r="F214" t="inlineStr">
        <is>
          <t>JÖNKÖPINGS LÄN</t>
        </is>
      </c>
      <c r="G214" t="inlineStr">
        <is>
          <t>HABO</t>
        </is>
      </c>
      <c r="I214" t="n">
        <v>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51027-2023</t>
        </is>
      </c>
      <c r="B215" t="inlineStr">
        <is>
          <t>avverkningsanmälan</t>
        </is>
      </c>
      <c r="C215" t="inlineStr">
        <is>
          <t>Föryngringsavverkning</t>
        </is>
      </c>
      <c r="D215" s="1" t="n">
        <v>45218</v>
      </c>
      <c r="E215" s="1" t="n">
        <v>46298</v>
      </c>
      <c r="F215" t="inlineStr">
        <is>
          <t>JÖNKÖPINGS LÄN</t>
        </is>
      </c>
      <c r="G215" t="inlineStr">
        <is>
          <t>HABO</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47532-2023</t>
        </is>
      </c>
      <c r="B216" t="inlineStr">
        <is>
          <t>avverkningsanmälan</t>
        </is>
      </c>
      <c r="C216" t="inlineStr">
        <is>
          <t>Föryngringsavverkning</t>
        </is>
      </c>
      <c r="D216" s="1" t="n">
        <v>45203</v>
      </c>
      <c r="E216" s="1" t="n">
        <v>46298</v>
      </c>
      <c r="F216" t="inlineStr">
        <is>
          <t>JÖNKÖPINGS LÄN</t>
        </is>
      </c>
      <c r="G216" t="inlineStr">
        <is>
          <t>HABO</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59433-2024</t>
        </is>
      </c>
      <c r="B217" t="inlineStr">
        <is>
          <t>avverkningsanmälan</t>
        </is>
      </c>
      <c r="C217" t="inlineStr">
        <is>
          <t>Föryngringsavverkning</t>
        </is>
      </c>
      <c r="D217" s="1" t="n">
        <v>45638</v>
      </c>
      <c r="E217" s="1" t="n">
        <v>46298</v>
      </c>
      <c r="F217" t="inlineStr">
        <is>
          <t>JÖNKÖPINGS LÄN</t>
        </is>
      </c>
      <c r="G217" t="inlineStr">
        <is>
          <t>HABO</t>
        </is>
      </c>
      <c r="I217" t="n">
        <v>10.4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3077-2024</t>
        </is>
      </c>
      <c r="B218" t="inlineStr">
        <is>
          <t>avverkningsanmälan</t>
        </is>
      </c>
      <c r="C218" t="inlineStr">
        <is>
          <t>Föryngringsavverkning</t>
        </is>
      </c>
      <c r="D218" s="1" t="n">
        <v>45316</v>
      </c>
      <c r="E218" s="1" t="n">
        <v>46298</v>
      </c>
      <c r="F218" t="inlineStr">
        <is>
          <t>JÖNKÖPINGS LÄN</t>
        </is>
      </c>
      <c r="G218" t="inlineStr">
        <is>
          <t>HABO</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48893-2024</t>
        </is>
      </c>
      <c r="B219" t="inlineStr">
        <is>
          <t>avverkningsanmälan</t>
        </is>
      </c>
      <c r="C219" t="inlineStr">
        <is>
          <t>Föryngringsavverkning</t>
        </is>
      </c>
      <c r="D219" s="1" t="n">
        <v>45594</v>
      </c>
      <c r="E219" s="1" t="n">
        <v>46298</v>
      </c>
      <c r="F219" t="inlineStr">
        <is>
          <t>JÖNKÖPINGS LÄN</t>
        </is>
      </c>
      <c r="G219" t="inlineStr">
        <is>
          <t>HABO</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12606-2025</t>
        </is>
      </c>
      <c r="B220" t="inlineStr">
        <is>
          <t>avverkningsanmälan</t>
        </is>
      </c>
      <c r="C220" t="inlineStr">
        <is>
          <t>Föryngringsavverkning</t>
        </is>
      </c>
      <c r="D220" s="1" t="n">
        <v>45733</v>
      </c>
      <c r="E220" s="1" t="n">
        <v>46298</v>
      </c>
      <c r="F220" t="inlineStr">
        <is>
          <t>JÖNKÖPINGS LÄN</t>
        </is>
      </c>
      <c r="G220" t="inlineStr">
        <is>
          <t>HABO</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31098-2026</t>
        </is>
      </c>
      <c r="B221" t="inlineStr">
        <is>
          <t>avverkningsanmälan</t>
        </is>
      </c>
      <c r="C221" t="inlineStr">
        <is>
          <t>Föryngringsavverkning</t>
        </is>
      </c>
      <c r="D221" s="1" t="n">
        <v>46216</v>
      </c>
      <c r="E221" s="1" t="n">
        <v>46298</v>
      </c>
      <c r="F221" t="inlineStr">
        <is>
          <t>JÖNKÖPINGS LÄN</t>
        </is>
      </c>
      <c r="G221" t="inlineStr">
        <is>
          <t>HABO</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48894-2024</t>
        </is>
      </c>
      <c r="B222" t="inlineStr">
        <is>
          <t>avverkningsanmälan</t>
        </is>
      </c>
      <c r="C222" t="inlineStr">
        <is>
          <t>Föryngringsavverkning</t>
        </is>
      </c>
      <c r="D222" s="1" t="n">
        <v>45594</v>
      </c>
      <c r="E222" s="1" t="n">
        <v>46298</v>
      </c>
      <c r="F222" t="inlineStr">
        <is>
          <t>JÖNKÖPINGS LÄN</t>
        </is>
      </c>
      <c r="G222" t="inlineStr">
        <is>
          <t>HABO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49447-2024</t>
        </is>
      </c>
      <c r="B223" t="inlineStr">
        <is>
          <t>avverkningsanmälan</t>
        </is>
      </c>
      <c r="C223" t="inlineStr">
        <is>
          <t>Föryngringsavverkning</t>
        </is>
      </c>
      <c r="D223" s="1" t="n">
        <v>45595</v>
      </c>
      <c r="E223" s="1" t="n">
        <v>46298</v>
      </c>
      <c r="F223" t="inlineStr">
        <is>
          <t>JÖNKÖPINGS LÄN</t>
        </is>
      </c>
      <c r="G223" t="inlineStr">
        <is>
          <t>HABO</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26711-2024</t>
        </is>
      </c>
      <c r="B224" t="inlineStr">
        <is>
          <t>avverkningsanmälan</t>
        </is>
      </c>
      <c r="C224" t="inlineStr">
        <is>
          <t>Föryngringsavverkning</t>
        </is>
      </c>
      <c r="D224" s="1" t="n">
        <v>45470</v>
      </c>
      <c r="E224" s="1" t="n">
        <v>46298</v>
      </c>
      <c r="F224" t="inlineStr">
        <is>
          <t>JÖNKÖPINGS LÄN</t>
        </is>
      </c>
      <c r="G224" t="inlineStr">
        <is>
          <t>HABO</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54989-2024</t>
        </is>
      </c>
      <c r="B225" t="inlineStr">
        <is>
          <t>avverkningsanmälan</t>
        </is>
      </c>
      <c r="C225" t="inlineStr">
        <is>
          <t>Föryngringsavverkning</t>
        </is>
      </c>
      <c r="D225" s="1" t="n">
        <v>45620</v>
      </c>
      <c r="E225" s="1" t="n">
        <v>46298</v>
      </c>
      <c r="F225" t="inlineStr">
        <is>
          <t>JÖNKÖPINGS LÄN</t>
        </is>
      </c>
      <c r="G225" t="inlineStr">
        <is>
          <t>HABO</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54990-2024</t>
        </is>
      </c>
      <c r="B226" t="inlineStr">
        <is>
          <t>avverkningsanmälan</t>
        </is>
      </c>
      <c r="C226" t="inlineStr">
        <is>
          <t>Föryngringsavverkning</t>
        </is>
      </c>
      <c r="D226" s="1" t="n">
        <v>45620</v>
      </c>
      <c r="E226" s="1" t="n">
        <v>46298</v>
      </c>
      <c r="F226" t="inlineStr">
        <is>
          <t>JÖNKÖPINGS LÄN</t>
        </is>
      </c>
      <c r="G226" t="inlineStr">
        <is>
          <t>HABO</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36029-2026</t>
        </is>
      </c>
      <c r="B227" t="inlineStr">
        <is>
          <t>avverkningsanmälan</t>
        </is>
      </c>
      <c r="C227" t="inlineStr">
        <is>
          <t>Föryngringsavverkning</t>
        </is>
      </c>
      <c r="D227" s="1" t="n">
        <v>46267</v>
      </c>
      <c r="E227" s="1" t="n">
        <v>46298</v>
      </c>
      <c r="F227" t="inlineStr">
        <is>
          <t>JÖNKÖPINGS LÄN</t>
        </is>
      </c>
      <c r="G227" t="inlineStr">
        <is>
          <t>HABO</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23145-2024</t>
        </is>
      </c>
      <c r="B228" t="inlineStr">
        <is>
          <t>avverkningsanmälan</t>
        </is>
      </c>
      <c r="C228" t="inlineStr">
        <is>
          <t>Föryngringsavverkning</t>
        </is>
      </c>
      <c r="D228" s="1" t="n">
        <v>45450</v>
      </c>
      <c r="E228" s="1" t="n">
        <v>46298</v>
      </c>
      <c r="F228" t="inlineStr">
        <is>
          <t>JÖNKÖPINGS LÄN</t>
        </is>
      </c>
      <c r="G228" t="inlineStr">
        <is>
          <t>HABO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23156-2024</t>
        </is>
      </c>
      <c r="B229" t="inlineStr">
        <is>
          <t>avverkningsanmälan</t>
        </is>
      </c>
      <c r="C229" t="inlineStr">
        <is>
          <t>Föryngringsavverkning</t>
        </is>
      </c>
      <c r="D229" s="1" t="n">
        <v>45450</v>
      </c>
      <c r="E229" s="1" t="n">
        <v>46298</v>
      </c>
      <c r="F229" t="inlineStr">
        <is>
          <t>JÖNKÖPINGS LÄN</t>
        </is>
      </c>
      <c r="G229" t="inlineStr">
        <is>
          <t>HABO</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15251-2024</t>
        </is>
      </c>
      <c r="B230" t="inlineStr">
        <is>
          <t>avverkningsanmälan</t>
        </is>
      </c>
      <c r="C230" t="inlineStr">
        <is>
          <t>Föryngringsavverkning</t>
        </is>
      </c>
      <c r="D230" s="1" t="n">
        <v>45400</v>
      </c>
      <c r="E230" s="1" t="n">
        <v>46298</v>
      </c>
      <c r="F230" t="inlineStr">
        <is>
          <t>JÖNKÖPINGS LÄN</t>
        </is>
      </c>
      <c r="G230" t="inlineStr">
        <is>
          <t>HABO</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36030-2026</t>
        </is>
      </c>
      <c r="B231" t="inlineStr">
        <is>
          <t>avverkningsanmälan</t>
        </is>
      </c>
      <c r="C231" t="inlineStr">
        <is>
          <t>Föryngringsavverkning</t>
        </is>
      </c>
      <c r="D231" s="1" t="n">
        <v>46267</v>
      </c>
      <c r="E231" s="1" t="n">
        <v>46298</v>
      </c>
      <c r="F231" t="inlineStr">
        <is>
          <t>JÖNKÖPINGS LÄN</t>
        </is>
      </c>
      <c r="G231" t="inlineStr">
        <is>
          <t>HABO</t>
        </is>
      </c>
      <c r="I231" t="n">
        <v>17.7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36230-2026</t>
        </is>
      </c>
      <c r="B232" t="inlineStr">
        <is>
          <t>avverkningsanmälan</t>
        </is>
      </c>
      <c r="C232" t="inlineStr">
        <is>
          <t>Avverkning för annat ändamål</t>
        </is>
      </c>
      <c r="D232" s="1" t="n">
        <v>46268</v>
      </c>
      <c r="E232" s="1" t="n">
        <v>46298</v>
      </c>
      <c r="F232" t="inlineStr">
        <is>
          <t>JÖNKÖPINGS LÄN</t>
        </is>
      </c>
      <c r="G232" t="inlineStr">
        <is>
          <t>HABO</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36411-2026</t>
        </is>
      </c>
      <c r="B233" t="inlineStr">
        <is>
          <t>avverkningsanmälan</t>
        </is>
      </c>
      <c r="C233" t="inlineStr">
        <is>
          <t>Föryngringsavverkning</t>
        </is>
      </c>
      <c r="D233" s="1" t="n">
        <v>46268</v>
      </c>
      <c r="E233" s="1" t="n">
        <v>46298</v>
      </c>
      <c r="F233" t="inlineStr">
        <is>
          <t>JÖNKÖPINGS LÄN</t>
        </is>
      </c>
      <c r="G233" t="inlineStr">
        <is>
          <t>HABO</t>
        </is>
      </c>
      <c r="I233" t="n">
        <v>10.5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36239-2026</t>
        </is>
      </c>
      <c r="B234" t="inlineStr">
        <is>
          <t>avverkningsanmälan</t>
        </is>
      </c>
      <c r="C234" t="inlineStr">
        <is>
          <t>Föryngringsavverkning</t>
        </is>
      </c>
      <c r="D234" s="1" t="n">
        <v>46268</v>
      </c>
      <c r="E234" s="1" t="n">
        <v>46298</v>
      </c>
      <c r="F234" t="inlineStr">
        <is>
          <t>JÖNKÖPINGS LÄN</t>
        </is>
      </c>
      <c r="G234" t="inlineStr">
        <is>
          <t>HABO</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36914-2026</t>
        </is>
      </c>
      <c r="B235" t="inlineStr">
        <is>
          <t>avverkningsanmälan</t>
        </is>
      </c>
      <c r="C235" t="inlineStr">
        <is>
          <t>Föryngringsavverkning</t>
        </is>
      </c>
      <c r="D235" s="1" t="n">
        <v>46273</v>
      </c>
      <c r="E235" s="1" t="n">
        <v>46298</v>
      </c>
      <c r="F235" t="inlineStr">
        <is>
          <t>JÖNKÖPINGS LÄN</t>
        </is>
      </c>
      <c r="G235" t="inlineStr">
        <is>
          <t>HABO</t>
        </is>
      </c>
      <c r="H235" t="inlineStr">
        <is>
          <t>Kommuner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12999-2025</t>
        </is>
      </c>
      <c r="B236" t="inlineStr">
        <is>
          <t>avverkningsanmälan</t>
        </is>
      </c>
      <c r="C236" t="inlineStr">
        <is>
          <t>Föryngringsavverkning</t>
        </is>
      </c>
      <c r="D236" s="1" t="n">
        <v>45734</v>
      </c>
      <c r="E236" s="1" t="n">
        <v>46298</v>
      </c>
      <c r="F236" t="inlineStr">
        <is>
          <t>JÖNKÖPINGS LÄN</t>
        </is>
      </c>
      <c r="G236" t="inlineStr">
        <is>
          <t>HABO</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36916-2026</t>
        </is>
      </c>
      <c r="B237" t="inlineStr">
        <is>
          <t>avverkningsanmälan</t>
        </is>
      </c>
      <c r="C237" t="inlineStr">
        <is>
          <t>Föryngringsavverkning</t>
        </is>
      </c>
      <c r="D237" s="1" t="n">
        <v>46273</v>
      </c>
      <c r="E237" s="1" t="n">
        <v>46298</v>
      </c>
      <c r="F237" t="inlineStr">
        <is>
          <t>JÖNKÖPINGS LÄN</t>
        </is>
      </c>
      <c r="G237" t="inlineStr">
        <is>
          <t>HABO</t>
        </is>
      </c>
      <c r="H237" t="inlineStr">
        <is>
          <t>Kommuner</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31959-2026</t>
        </is>
      </c>
      <c r="B238" t="inlineStr">
        <is>
          <t>avverkningsanmälan</t>
        </is>
      </c>
      <c r="C238" t="inlineStr">
        <is>
          <t>Föryngringsavverkning</t>
        </is>
      </c>
      <c r="D238" s="1" t="n">
        <v>46232</v>
      </c>
      <c r="E238" s="1" t="n">
        <v>46298</v>
      </c>
      <c r="F238" t="inlineStr">
        <is>
          <t>JÖNKÖPINGS LÄN</t>
        </is>
      </c>
      <c r="G238" t="inlineStr">
        <is>
          <t>HABO</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30863-2023</t>
        </is>
      </c>
      <c r="B239" t="inlineStr">
        <is>
          <t>avverkningsanmälan</t>
        </is>
      </c>
      <c r="C239" t="inlineStr">
        <is>
          <t>Föryngringsavverkning</t>
        </is>
      </c>
      <c r="D239" s="1" t="n">
        <v>45113</v>
      </c>
      <c r="E239" s="1" t="n">
        <v>46298</v>
      </c>
      <c r="F239" t="inlineStr">
        <is>
          <t>JÖNKÖPINGS LÄN</t>
        </is>
      </c>
      <c r="G239" t="inlineStr">
        <is>
          <t>HABO</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40280-2024</t>
        </is>
      </c>
      <c r="B240" t="inlineStr">
        <is>
          <t>avverkningsanmälan</t>
        </is>
      </c>
      <c r="C240" t="inlineStr">
        <is>
          <t>Avverkning för annat ändamål</t>
        </is>
      </c>
      <c r="D240" s="1" t="n">
        <v>45554</v>
      </c>
      <c r="E240" s="1" t="n">
        <v>46298</v>
      </c>
      <c r="F240" t="inlineStr">
        <is>
          <t>JÖNKÖPINGS LÄN</t>
        </is>
      </c>
      <c r="G240" t="inlineStr">
        <is>
          <t>HABO</t>
        </is>
      </c>
      <c r="I240" t="n">
        <v>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54693-2023</t>
        </is>
      </c>
      <c r="B241" t="inlineStr">
        <is>
          <t>avverkningsanmälan</t>
        </is>
      </c>
      <c r="C241" t="inlineStr">
        <is>
          <t>Föryngringsavverkning</t>
        </is>
      </c>
      <c r="D241" s="1" t="n">
        <v>45236</v>
      </c>
      <c r="E241" s="1" t="n">
        <v>46298</v>
      </c>
      <c r="F241" t="inlineStr">
        <is>
          <t>JÖNKÖPINGS LÄN</t>
        </is>
      </c>
      <c r="G241" t="inlineStr">
        <is>
          <t>HABO</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51444-2023</t>
        </is>
      </c>
      <c r="B242" t="inlineStr">
        <is>
          <t>avverkningsanmälan</t>
        </is>
      </c>
      <c r="C242" t="inlineStr">
        <is>
          <t>Föryngringsavverkning</t>
        </is>
      </c>
      <c r="D242" s="1" t="n">
        <v>45220</v>
      </c>
      <c r="E242" s="1" t="n">
        <v>46298</v>
      </c>
      <c r="F242" t="inlineStr">
        <is>
          <t>JÖNKÖPINGS LÄN</t>
        </is>
      </c>
      <c r="G242" t="inlineStr">
        <is>
          <t>HABO</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8849-2024</t>
        </is>
      </c>
      <c r="B243" t="inlineStr">
        <is>
          <t>avverkningsanmälan</t>
        </is>
      </c>
      <c r="C243" t="inlineStr">
        <is>
          <t>Föryngringsavverkning</t>
        </is>
      </c>
      <c r="D243" s="1" t="n">
        <v>45356</v>
      </c>
      <c r="E243" s="1" t="n">
        <v>46298</v>
      </c>
      <c r="F243" t="inlineStr">
        <is>
          <t>JÖNKÖPINGS LÄN</t>
        </is>
      </c>
      <c r="G243" t="inlineStr">
        <is>
          <t>HABO</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33030-2026</t>
        </is>
      </c>
      <c r="B244" t="inlineStr">
        <is>
          <t>avverkningsanmälan</t>
        </is>
      </c>
      <c r="C244" t="inlineStr">
        <is>
          <t>Föryngringsavverkning</t>
        </is>
      </c>
      <c r="D244" s="1" t="n">
        <v>46244</v>
      </c>
      <c r="E244" s="1" t="n">
        <v>46298</v>
      </c>
      <c r="F244" t="inlineStr">
        <is>
          <t>JÖNKÖPINGS LÄN</t>
        </is>
      </c>
      <c r="G244" t="inlineStr">
        <is>
          <t>HABO</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2073-2023</t>
        </is>
      </c>
      <c r="B245" t="inlineStr">
        <is>
          <t>avverkningsanmälan</t>
        </is>
      </c>
      <c r="C245" t="inlineStr">
        <is>
          <t>Föryngringsavverkning</t>
        </is>
      </c>
      <c r="D245" s="1" t="n">
        <v>44939</v>
      </c>
      <c r="E245" s="1" t="n">
        <v>46298</v>
      </c>
      <c r="F245" t="inlineStr">
        <is>
          <t>JÖNKÖPINGS LÄN</t>
        </is>
      </c>
      <c r="G245" t="inlineStr">
        <is>
          <t>HABO</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11906-2023</t>
        </is>
      </c>
      <c r="B246" t="inlineStr">
        <is>
          <t>avverkningsanmälan</t>
        </is>
      </c>
      <c r="C246" t="inlineStr">
        <is>
          <t>Föryngringsavverkning</t>
        </is>
      </c>
      <c r="D246" s="1" t="n">
        <v>44995</v>
      </c>
      <c r="E246" s="1" t="n">
        <v>46298</v>
      </c>
      <c r="F246" t="inlineStr">
        <is>
          <t>JÖNKÖPINGS LÄN</t>
        </is>
      </c>
      <c r="G246" t="inlineStr">
        <is>
          <t>HABO</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26207-2023</t>
        </is>
      </c>
      <c r="B247" t="inlineStr">
        <is>
          <t>avverkningsanmälan</t>
        </is>
      </c>
      <c r="C247" t="inlineStr">
        <is>
          <t>Föryngringsavverkning</t>
        </is>
      </c>
      <c r="D247" s="1" t="n">
        <v>45091</v>
      </c>
      <c r="E247" s="1" t="n">
        <v>46298</v>
      </c>
      <c r="F247" t="inlineStr">
        <is>
          <t>JÖNKÖPINGS LÄN</t>
        </is>
      </c>
      <c r="G247" t="inlineStr">
        <is>
          <t>HABO</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33317-2026</t>
        </is>
      </c>
      <c r="B248" t="inlineStr">
        <is>
          <t>avverkningsanmälan</t>
        </is>
      </c>
      <c r="C248" t="inlineStr">
        <is>
          <t>Föryngringsavverkning</t>
        </is>
      </c>
      <c r="D248" s="1" t="n">
        <v>46246</v>
      </c>
      <c r="E248" s="1" t="n">
        <v>46298</v>
      </c>
      <c r="F248" t="inlineStr">
        <is>
          <t>JÖNKÖPINGS LÄN</t>
        </is>
      </c>
      <c r="G248" t="inlineStr">
        <is>
          <t>HABO</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53300-2022</t>
        </is>
      </c>
      <c r="B249" t="inlineStr">
        <is>
          <t>avverkningsanmälan</t>
        </is>
      </c>
      <c r="C249" t="inlineStr">
        <is>
          <t>Föryngringsavverkning</t>
        </is>
      </c>
      <c r="D249" s="1" t="n">
        <v>44877</v>
      </c>
      <c r="E249" s="1" t="n">
        <v>46298</v>
      </c>
      <c r="F249" t="inlineStr">
        <is>
          <t>JÖNKÖPINGS LÄN</t>
        </is>
      </c>
      <c r="G249" t="inlineStr">
        <is>
          <t>HABO</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14724-2024</t>
        </is>
      </c>
      <c r="B250" t="inlineStr">
        <is>
          <t>avverkningsanmälan</t>
        </is>
      </c>
      <c r="C250" t="inlineStr">
        <is>
          <t>Föryngringsavverkning</t>
        </is>
      </c>
      <c r="D250" s="1" t="n">
        <v>45397</v>
      </c>
      <c r="E250" s="1" t="n">
        <v>46298</v>
      </c>
      <c r="F250" t="inlineStr">
        <is>
          <t>JÖNKÖPINGS LÄN</t>
        </is>
      </c>
      <c r="G250" t="inlineStr">
        <is>
          <t>HABO</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1699-2024</t>
        </is>
      </c>
      <c r="B251" t="inlineStr">
        <is>
          <t>avverkningsanmälan</t>
        </is>
      </c>
      <c r="C251" t="inlineStr">
        <is>
          <t>Föryngringsavverkning</t>
        </is>
      </c>
      <c r="D251" s="1" t="n">
        <v>45307</v>
      </c>
      <c r="E251" s="1" t="n">
        <v>46298</v>
      </c>
      <c r="F251" t="inlineStr">
        <is>
          <t>JÖNKÖPINGS LÄN</t>
        </is>
      </c>
      <c r="G251" t="inlineStr">
        <is>
          <t>HABO</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46062-2024</t>
        </is>
      </c>
      <c r="B252" t="inlineStr">
        <is>
          <t>avverkningsanmälan</t>
        </is>
      </c>
      <c r="C252" t="inlineStr">
        <is>
          <t>Föryngringsavverkning</t>
        </is>
      </c>
      <c r="D252" s="1" t="n">
        <v>45580</v>
      </c>
      <c r="E252" s="1" t="n">
        <v>46298</v>
      </c>
      <c r="F252" t="inlineStr">
        <is>
          <t>JÖNKÖPINGS LÄN</t>
        </is>
      </c>
      <c r="G252" t="inlineStr">
        <is>
          <t>HABO</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13880-2023</t>
        </is>
      </c>
      <c r="B253" t="inlineStr">
        <is>
          <t>avverkningsanmälan</t>
        </is>
      </c>
      <c r="C253" t="inlineStr">
        <is>
          <t>Föryngringsavverkning</t>
        </is>
      </c>
      <c r="D253" s="1" t="n">
        <v>45007</v>
      </c>
      <c r="E253" s="1" t="n">
        <v>46298</v>
      </c>
      <c r="F253" t="inlineStr">
        <is>
          <t>JÖNKÖPINGS LÄN</t>
        </is>
      </c>
      <c r="G253" t="inlineStr">
        <is>
          <t>HABO</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36483-2023</t>
        </is>
      </c>
      <c r="B254" t="inlineStr">
        <is>
          <t>avverkningsanmälan</t>
        </is>
      </c>
      <c r="C254" t="inlineStr">
        <is>
          <t>Föryngringsavverkning</t>
        </is>
      </c>
      <c r="D254" s="1" t="n">
        <v>45152</v>
      </c>
      <c r="E254" s="1" t="n">
        <v>46298</v>
      </c>
      <c r="F254" t="inlineStr">
        <is>
          <t>JÖNKÖPINGS LÄN</t>
        </is>
      </c>
      <c r="G254" t="inlineStr">
        <is>
          <t>HABO</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31909-2024</t>
        </is>
      </c>
      <c r="B255" t="inlineStr">
        <is>
          <t>avverkningsanmälan</t>
        </is>
      </c>
      <c r="C255" t="inlineStr">
        <is>
          <t>Föryngringsavverkning</t>
        </is>
      </c>
      <c r="D255" s="1" t="n">
        <v>45510</v>
      </c>
      <c r="E255" s="1" t="n">
        <v>46298</v>
      </c>
      <c r="F255" t="inlineStr">
        <is>
          <t>JÖNKÖPINGS LÄN</t>
        </is>
      </c>
      <c r="G255" t="inlineStr">
        <is>
          <t>HABO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45275-2024</t>
        </is>
      </c>
      <c r="B256" t="inlineStr">
        <is>
          <t>avverkningsanmälan</t>
        </is>
      </c>
      <c r="C256" t="inlineStr">
        <is>
          <t>Föryngringsavverkning</t>
        </is>
      </c>
      <c r="D256" s="1" t="n">
        <v>45576</v>
      </c>
      <c r="E256" s="1" t="n">
        <v>46298</v>
      </c>
      <c r="F256" t="inlineStr">
        <is>
          <t>JÖNKÖPINGS LÄN</t>
        </is>
      </c>
      <c r="G256" t="inlineStr">
        <is>
          <t>HABO</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58666-2024</t>
        </is>
      </c>
      <c r="B257" t="inlineStr">
        <is>
          <t>avverkningsanmälan</t>
        </is>
      </c>
      <c r="C257" t="inlineStr">
        <is>
          <t>Föryngringsavverkning</t>
        </is>
      </c>
      <c r="D257" s="1" t="n">
        <v>45635</v>
      </c>
      <c r="E257" s="1" t="n">
        <v>46298</v>
      </c>
      <c r="F257" t="inlineStr">
        <is>
          <t>JÖNKÖPINGS LÄN</t>
        </is>
      </c>
      <c r="G257" t="inlineStr">
        <is>
          <t>HABO</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17519-2025</t>
        </is>
      </c>
      <c r="B258" t="inlineStr">
        <is>
          <t>avverkningsanmälan</t>
        </is>
      </c>
      <c r="C258" t="inlineStr">
        <is>
          <t>Föryngringsavverkning</t>
        </is>
      </c>
      <c r="D258" s="1" t="n">
        <v>45757</v>
      </c>
      <c r="E258" s="1" t="n">
        <v>46298</v>
      </c>
      <c r="F258" t="inlineStr">
        <is>
          <t>JÖNKÖPINGS LÄN</t>
        </is>
      </c>
      <c r="G258" t="inlineStr">
        <is>
          <t>HABO</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17520-2025</t>
        </is>
      </c>
      <c r="B259" t="inlineStr">
        <is>
          <t>avverkningsanmälan</t>
        </is>
      </c>
      <c r="C259" t="inlineStr">
        <is>
          <t>Föryngringsavverkning</t>
        </is>
      </c>
      <c r="D259" s="1" t="n">
        <v>45757</v>
      </c>
      <c r="E259" s="1" t="n">
        <v>46298</v>
      </c>
      <c r="F259" t="inlineStr">
        <is>
          <t>JÖNKÖPINGS LÄN</t>
        </is>
      </c>
      <c r="G259" t="inlineStr">
        <is>
          <t>HABO</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33738-2026</t>
        </is>
      </c>
      <c r="B260" t="inlineStr">
        <is>
          <t>avverkningsanmälan</t>
        </is>
      </c>
      <c r="C260" t="inlineStr">
        <is>
          <t>Föryngringsavverkning</t>
        </is>
      </c>
      <c r="D260" s="1" t="n">
        <v>46251</v>
      </c>
      <c r="E260" s="1" t="n">
        <v>46298</v>
      </c>
      <c r="F260" t="inlineStr">
        <is>
          <t>JÖNKÖPINGS LÄN</t>
        </is>
      </c>
      <c r="G260" t="inlineStr">
        <is>
          <t>HABO</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47836-2023</t>
        </is>
      </c>
      <c r="B261" t="inlineStr">
        <is>
          <t>avverkningsanmälan</t>
        </is>
      </c>
      <c r="C261" t="inlineStr">
        <is>
          <t>Föryngringsavverkning</t>
        </is>
      </c>
      <c r="D261" s="1" t="n">
        <v>45204</v>
      </c>
      <c r="E261" s="1" t="n">
        <v>46298</v>
      </c>
      <c r="F261" t="inlineStr">
        <is>
          <t>JÖNKÖPINGS LÄN</t>
        </is>
      </c>
      <c r="G261" t="inlineStr">
        <is>
          <t>HABO</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49448-2024</t>
        </is>
      </c>
      <c r="B262" t="inlineStr">
        <is>
          <t>avverkningsanmälan</t>
        </is>
      </c>
      <c r="C262" t="inlineStr">
        <is>
          <t>Föryngringsavverkning</t>
        </is>
      </c>
      <c r="D262" s="1" t="n">
        <v>45595</v>
      </c>
      <c r="E262" s="1" t="n">
        <v>46298</v>
      </c>
      <c r="F262" t="inlineStr">
        <is>
          <t>JÖNKÖPINGS LÄN</t>
        </is>
      </c>
      <c r="G262" t="inlineStr">
        <is>
          <t>HABO</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13850-2024</t>
        </is>
      </c>
      <c r="B263" t="inlineStr">
        <is>
          <t>avverkningsanmälan</t>
        </is>
      </c>
      <c r="C263" t="inlineStr">
        <is>
          <t>Föryngringsavverkning</t>
        </is>
      </c>
      <c r="D263" s="1" t="n">
        <v>45390</v>
      </c>
      <c r="E263" s="1" t="n">
        <v>46298</v>
      </c>
      <c r="F263" t="inlineStr">
        <is>
          <t>JÖNKÖPINGS LÄN</t>
        </is>
      </c>
      <c r="G263" t="inlineStr">
        <is>
          <t>HABO</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34479-2026</t>
        </is>
      </c>
      <c r="B264" t="inlineStr">
        <is>
          <t>avverkningsanmälan</t>
        </is>
      </c>
      <c r="C264" t="inlineStr">
        <is>
          <t>Föryngringsavverkning</t>
        </is>
      </c>
      <c r="D264" s="1" t="n">
        <v>46254</v>
      </c>
      <c r="E264" s="1" t="n">
        <v>46298</v>
      </c>
      <c r="F264" t="inlineStr">
        <is>
          <t>JÖNKÖPINGS LÄN</t>
        </is>
      </c>
      <c r="G264" t="inlineStr">
        <is>
          <t>HABO</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33307-2026</t>
        </is>
      </c>
      <c r="B265" t="inlineStr">
        <is>
          <t>avverkningsanmälan</t>
        </is>
      </c>
      <c r="C265" t="inlineStr">
        <is>
          <t>Föryngringsavverkning</t>
        </is>
      </c>
      <c r="D265" s="1" t="n">
        <v>46246</v>
      </c>
      <c r="E265" s="1" t="n">
        <v>46298</v>
      </c>
      <c r="F265" t="inlineStr">
        <is>
          <t>JÖNKÖPINGS LÄN</t>
        </is>
      </c>
      <c r="G265" t="inlineStr">
        <is>
          <t>HABO</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57999-2024</t>
        </is>
      </c>
      <c r="B266" t="inlineStr">
        <is>
          <t>avverkningsanmälan</t>
        </is>
      </c>
      <c r="C266" t="inlineStr">
        <is>
          <t>Föryngringsavverkning</t>
        </is>
      </c>
      <c r="D266" s="1" t="n">
        <v>45631</v>
      </c>
      <c r="E266" s="1" t="n">
        <v>46298</v>
      </c>
      <c r="F266" t="inlineStr">
        <is>
          <t>JÖNKÖPINGS LÄN</t>
        </is>
      </c>
      <c r="G266" t="inlineStr">
        <is>
          <t>HABO</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59928-2022</t>
        </is>
      </c>
      <c r="B267" t="inlineStr">
        <is>
          <t>avverkningsanmälan</t>
        </is>
      </c>
      <c r="C267" t="inlineStr">
        <is>
          <t>Föryngringsavverkning</t>
        </is>
      </c>
      <c r="D267" s="1" t="n">
        <v>44909</v>
      </c>
      <c r="E267" s="1" t="n">
        <v>46298</v>
      </c>
      <c r="F267" t="inlineStr">
        <is>
          <t>JÖNKÖPINGS LÄN</t>
        </is>
      </c>
      <c r="G267" t="inlineStr">
        <is>
          <t>HABO</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11426-2024</t>
        </is>
      </c>
      <c r="B268" t="inlineStr">
        <is>
          <t>avverkningsanmälan</t>
        </is>
      </c>
      <c r="C268" t="inlineStr">
        <is>
          <t>Föryngringsavverkning</t>
        </is>
      </c>
      <c r="D268" s="1" t="n">
        <v>45372</v>
      </c>
      <c r="E268" s="1" t="n">
        <v>46298</v>
      </c>
      <c r="F268" t="inlineStr">
        <is>
          <t>JÖNKÖPINGS LÄN</t>
        </is>
      </c>
      <c r="G268" t="inlineStr">
        <is>
          <t>HABO</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61665-2024</t>
        </is>
      </c>
      <c r="B269" t="inlineStr">
        <is>
          <t>avverkningsanmälan</t>
        </is>
      </c>
      <c r="C269" t="inlineStr">
        <is>
          <t>Föryngringsavverkning</t>
        </is>
      </c>
      <c r="D269" s="1" t="n">
        <v>45647</v>
      </c>
      <c r="E269" s="1" t="n">
        <v>46298</v>
      </c>
      <c r="F269" t="inlineStr">
        <is>
          <t>JÖNKÖPINGS LÄN</t>
        </is>
      </c>
      <c r="G269" t="inlineStr">
        <is>
          <t>HABO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58430-2021</t>
        </is>
      </c>
      <c r="B270" t="inlineStr">
        <is>
          <t>avverkningsanmälan</t>
        </is>
      </c>
      <c r="C270" t="inlineStr">
        <is>
          <t>Föryngringsavverkning</t>
        </is>
      </c>
      <c r="D270" s="1" t="n">
        <v>44488</v>
      </c>
      <c r="E270" s="1" t="n">
        <v>46298</v>
      </c>
      <c r="F270" t="inlineStr">
        <is>
          <t>JÖNKÖPINGS LÄN</t>
        </is>
      </c>
      <c r="G270" t="inlineStr">
        <is>
          <t>HABO</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59057-2024</t>
        </is>
      </c>
      <c r="B271" t="inlineStr">
        <is>
          <t>avverkningsanmälan</t>
        </is>
      </c>
      <c r="C271" t="inlineStr">
        <is>
          <t>Föryngringsavverkning</t>
        </is>
      </c>
      <c r="D271" s="1" t="n">
        <v>45636</v>
      </c>
      <c r="E271" s="1" t="n">
        <v>46298</v>
      </c>
      <c r="F271" t="inlineStr">
        <is>
          <t>JÖNKÖPINGS LÄN</t>
        </is>
      </c>
      <c r="G271" t="inlineStr">
        <is>
          <t>HABO</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60679-2024</t>
        </is>
      </c>
      <c r="B272" t="inlineStr">
        <is>
          <t>avverkningsanmälan</t>
        </is>
      </c>
      <c r="C272" t="inlineStr">
        <is>
          <t>Föryngringsavverkning</t>
        </is>
      </c>
      <c r="D272" s="1" t="n">
        <v>45644</v>
      </c>
      <c r="E272" s="1" t="n">
        <v>46298</v>
      </c>
      <c r="F272" t="inlineStr">
        <is>
          <t>JÖNKÖPINGS LÄN</t>
        </is>
      </c>
      <c r="G272" t="inlineStr">
        <is>
          <t>HABO</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32329-2023</t>
        </is>
      </c>
      <c r="B273" t="inlineStr">
        <is>
          <t>avverkningsanmälan</t>
        </is>
      </c>
      <c r="C273" t="inlineStr">
        <is>
          <t>Föryngringsavverkning</t>
        </is>
      </c>
      <c r="D273" s="1" t="n">
        <v>45120</v>
      </c>
      <c r="E273" s="1" t="n">
        <v>46298</v>
      </c>
      <c r="F273" t="inlineStr">
        <is>
          <t>JÖNKÖPINGS LÄN</t>
        </is>
      </c>
      <c r="G273" t="inlineStr">
        <is>
          <t>HABO</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32235-2023</t>
        </is>
      </c>
      <c r="B274" t="inlineStr">
        <is>
          <t>avverkningsanmälan</t>
        </is>
      </c>
      <c r="C274" t="inlineStr">
        <is>
          <t>Föryngringsavverkning</t>
        </is>
      </c>
      <c r="D274" s="1" t="n">
        <v>45119</v>
      </c>
      <c r="E274" s="1" t="n">
        <v>46298</v>
      </c>
      <c r="F274" t="inlineStr">
        <is>
          <t>JÖNKÖPINGS LÄN</t>
        </is>
      </c>
      <c r="G274" t="inlineStr">
        <is>
          <t>HABO</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32236-2023</t>
        </is>
      </c>
      <c r="B275" t="inlineStr">
        <is>
          <t>avverkningsanmälan</t>
        </is>
      </c>
      <c r="C275" t="inlineStr">
        <is>
          <t>Föryngringsavverkning</t>
        </is>
      </c>
      <c r="D275" s="1" t="n">
        <v>45119</v>
      </c>
      <c r="E275" s="1" t="n">
        <v>46298</v>
      </c>
      <c r="F275" t="inlineStr">
        <is>
          <t>JÖNKÖPINGS LÄN</t>
        </is>
      </c>
      <c r="G275" t="inlineStr">
        <is>
          <t>HABO</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58452-2021</t>
        </is>
      </c>
      <c r="B276" t="inlineStr">
        <is>
          <t>avverkningsanmälan</t>
        </is>
      </c>
      <c r="C276" t="inlineStr">
        <is>
          <t>Föryngringsavverkning</t>
        </is>
      </c>
      <c r="D276" s="1" t="n">
        <v>44488</v>
      </c>
      <c r="E276" s="1" t="n">
        <v>46298</v>
      </c>
      <c r="F276" t="inlineStr">
        <is>
          <t>JÖNKÖPINGS LÄN</t>
        </is>
      </c>
      <c r="G276" t="inlineStr">
        <is>
          <t>HABO</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58458-2021</t>
        </is>
      </c>
      <c r="B277" t="inlineStr">
        <is>
          <t>avverkningsanmälan</t>
        </is>
      </c>
      <c r="C277" t="inlineStr">
        <is>
          <t>Föryngringsavverkning</t>
        </is>
      </c>
      <c r="D277" s="1" t="n">
        <v>44488</v>
      </c>
      <c r="E277" s="1" t="n">
        <v>46298</v>
      </c>
      <c r="F277" t="inlineStr">
        <is>
          <t>JÖNKÖPINGS LÄN</t>
        </is>
      </c>
      <c r="G277" t="inlineStr">
        <is>
          <t>HABO</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32238-2023</t>
        </is>
      </c>
      <c r="B278" t="inlineStr">
        <is>
          <t>avverkningsanmälan</t>
        </is>
      </c>
      <c r="C278" t="inlineStr">
        <is>
          <t>Föryngringsavverkning</t>
        </is>
      </c>
      <c r="D278" s="1" t="n">
        <v>45119</v>
      </c>
      <c r="E278" s="1" t="n">
        <v>46298</v>
      </c>
      <c r="F278" t="inlineStr">
        <is>
          <t>JÖNKÖPINGS LÄN</t>
        </is>
      </c>
      <c r="G278" t="inlineStr">
        <is>
          <t>HABO</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36481-2023</t>
        </is>
      </c>
      <c r="B279" t="inlineStr">
        <is>
          <t>avverkningsanmälan</t>
        </is>
      </c>
      <c r="C279" t="inlineStr">
        <is>
          <t>Föryngringsavverkning</t>
        </is>
      </c>
      <c r="D279" s="1" t="n">
        <v>45152</v>
      </c>
      <c r="E279" s="1" t="n">
        <v>46298</v>
      </c>
      <c r="F279" t="inlineStr">
        <is>
          <t>JÖNKÖPINGS LÄN</t>
        </is>
      </c>
      <c r="G279" t="inlineStr">
        <is>
          <t>HABO</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11887-2023</t>
        </is>
      </c>
      <c r="B280" t="inlineStr">
        <is>
          <t>avverkningsanmälan</t>
        </is>
      </c>
      <c r="C280" t="inlineStr">
        <is>
          <t>Föryngringsavverkning</t>
        </is>
      </c>
      <c r="D280" s="1" t="n">
        <v>44995</v>
      </c>
      <c r="E280" s="1" t="n">
        <v>46298</v>
      </c>
      <c r="F280" t="inlineStr">
        <is>
          <t>JÖNKÖPINGS LÄN</t>
        </is>
      </c>
      <c r="G280" t="inlineStr">
        <is>
          <t>HABO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9931-2024</t>
        </is>
      </c>
      <c r="B281" t="inlineStr">
        <is>
          <t>avverkningsanmälan</t>
        </is>
      </c>
      <c r="C281" t="inlineStr">
        <is>
          <t>Föryngringsavverkning</t>
        </is>
      </c>
      <c r="D281" s="1" t="n">
        <v>45363</v>
      </c>
      <c r="E281" s="1" t="n">
        <v>46298</v>
      </c>
      <c r="F281" t="inlineStr">
        <is>
          <t>JÖNKÖPINGS LÄN</t>
        </is>
      </c>
      <c r="G281" t="inlineStr">
        <is>
          <t>HABO</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60971-2022</t>
        </is>
      </c>
      <c r="B282" t="inlineStr">
        <is>
          <t>avverkningsanmälan</t>
        </is>
      </c>
      <c r="C282" t="inlineStr">
        <is>
          <t>Föryngringsavverkning</t>
        </is>
      </c>
      <c r="D282" s="1" t="n">
        <v>44914</v>
      </c>
      <c r="E282" s="1" t="n">
        <v>46298</v>
      </c>
      <c r="F282" t="inlineStr">
        <is>
          <t>JÖNKÖPINGS LÄN</t>
        </is>
      </c>
      <c r="G282" t="inlineStr">
        <is>
          <t>HABO</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50710-2023</t>
        </is>
      </c>
      <c r="B283" t="inlineStr">
        <is>
          <t>avverkningsanmälan</t>
        </is>
      </c>
      <c r="C283" t="inlineStr">
        <is>
          <t>Föryngringsavverkning</t>
        </is>
      </c>
      <c r="D283" s="1" t="n">
        <v>45217</v>
      </c>
      <c r="E283" s="1" t="n">
        <v>46298</v>
      </c>
      <c r="F283" t="inlineStr">
        <is>
          <t>JÖNKÖPINGS LÄN</t>
        </is>
      </c>
      <c r="G283" t="inlineStr">
        <is>
          <t>HABO</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29408-2023</t>
        </is>
      </c>
      <c r="B284" t="inlineStr">
        <is>
          <t>avverkningsanmälan</t>
        </is>
      </c>
      <c r="C284" t="inlineStr">
        <is>
          <t>Föryngringsavverkning</t>
        </is>
      </c>
      <c r="D284" s="1" t="n">
        <v>45106</v>
      </c>
      <c r="E284" s="1" t="n">
        <v>46298</v>
      </c>
      <c r="F284" t="inlineStr">
        <is>
          <t>JÖNKÖPINGS LÄN</t>
        </is>
      </c>
      <c r="G284" t="inlineStr">
        <is>
          <t>HABO</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32245-2023</t>
        </is>
      </c>
      <c r="B285" t="inlineStr">
        <is>
          <t>avverkningsanmälan</t>
        </is>
      </c>
      <c r="C285" t="inlineStr">
        <is>
          <t>Föryngringsavverkning</t>
        </is>
      </c>
      <c r="D285" s="1" t="n">
        <v>45119</v>
      </c>
      <c r="E285" s="1" t="n">
        <v>46298</v>
      </c>
      <c r="F285" t="inlineStr">
        <is>
          <t>JÖNKÖPINGS LÄN</t>
        </is>
      </c>
      <c r="G285" t="inlineStr">
        <is>
          <t>HABO</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32246-2023</t>
        </is>
      </c>
      <c r="B286" t="inlineStr">
        <is>
          <t>avverkningsanmälan</t>
        </is>
      </c>
      <c r="C286" t="inlineStr">
        <is>
          <t>Föryngringsavverkning</t>
        </is>
      </c>
      <c r="D286" s="1" t="n">
        <v>45120</v>
      </c>
      <c r="E286" s="1" t="n">
        <v>46298</v>
      </c>
      <c r="F286" t="inlineStr">
        <is>
          <t>JÖNKÖPINGS LÄN</t>
        </is>
      </c>
      <c r="G286" t="inlineStr">
        <is>
          <t>HABO</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32247-2023</t>
        </is>
      </c>
      <c r="B287" t="inlineStr">
        <is>
          <t>avverkningsanmälan</t>
        </is>
      </c>
      <c r="C287" t="inlineStr">
        <is>
          <t>Föryngringsavverkning</t>
        </is>
      </c>
      <c r="D287" s="1" t="n">
        <v>45120</v>
      </c>
      <c r="E287" s="1" t="n">
        <v>46298</v>
      </c>
      <c r="F287" t="inlineStr">
        <is>
          <t>JÖNKÖPINGS LÄN</t>
        </is>
      </c>
      <c r="G287" t="inlineStr">
        <is>
          <t>HABO</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32253-2023</t>
        </is>
      </c>
      <c r="B288" t="inlineStr">
        <is>
          <t>avverkningsanmälan</t>
        </is>
      </c>
      <c r="C288" t="inlineStr">
        <is>
          <t>Föryngringsavverkning</t>
        </is>
      </c>
      <c r="D288" s="1" t="n">
        <v>45120</v>
      </c>
      <c r="E288" s="1" t="n">
        <v>46298</v>
      </c>
      <c r="F288" t="inlineStr">
        <is>
          <t>JÖNKÖPINGS LÄN</t>
        </is>
      </c>
      <c r="G288" t="inlineStr">
        <is>
          <t>HABO</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4551-2025</t>
        </is>
      </c>
      <c r="B289" t="inlineStr">
        <is>
          <t>avverkningsanmälan</t>
        </is>
      </c>
      <c r="C289" t="inlineStr">
        <is>
          <t>Föryngringsavverkning</t>
        </is>
      </c>
      <c r="D289" s="1" t="n">
        <v>45687</v>
      </c>
      <c r="E289" s="1" t="n">
        <v>46298</v>
      </c>
      <c r="F289" t="inlineStr">
        <is>
          <t>JÖNKÖPINGS LÄN</t>
        </is>
      </c>
      <c r="G289" t="inlineStr">
        <is>
          <t>HABO</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31591-2022</t>
        </is>
      </c>
      <c r="B290" t="inlineStr">
        <is>
          <t>avverkningsanmälan</t>
        </is>
      </c>
      <c r="C290" t="inlineStr">
        <is>
          <t>Föryngringsavverkning</t>
        </is>
      </c>
      <c r="D290" s="1" t="n">
        <v>44775</v>
      </c>
      <c r="E290" s="1" t="n">
        <v>46298</v>
      </c>
      <c r="F290" t="inlineStr">
        <is>
          <t>JÖNKÖPINGS LÄN</t>
        </is>
      </c>
      <c r="G290" t="inlineStr">
        <is>
          <t>HABO</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21072-2025</t>
        </is>
      </c>
      <c r="B291" t="inlineStr">
        <is>
          <t>avverkningsanmälan</t>
        </is>
      </c>
      <c r="C291" t="inlineStr">
        <is>
          <t>Föryngringsavverkning</t>
        </is>
      </c>
      <c r="D291" s="1" t="n">
        <v>45777</v>
      </c>
      <c r="E291" s="1" t="n">
        <v>46298</v>
      </c>
      <c r="F291" t="inlineStr">
        <is>
          <t>JÖNKÖPINGS LÄN</t>
        </is>
      </c>
      <c r="G291" t="inlineStr">
        <is>
          <t>HABO</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21073-2025</t>
        </is>
      </c>
      <c r="B292" t="inlineStr">
        <is>
          <t>avverkningsanmälan</t>
        </is>
      </c>
      <c r="C292" t="inlineStr">
        <is>
          <t>Föryngringsavverkning</t>
        </is>
      </c>
      <c r="D292" s="1" t="n">
        <v>45777</v>
      </c>
      <c r="E292" s="1" t="n">
        <v>46298</v>
      </c>
      <c r="F292" t="inlineStr">
        <is>
          <t>JÖNKÖPINGS LÄN</t>
        </is>
      </c>
      <c r="G292" t="inlineStr">
        <is>
          <t>HABO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22691-2025</t>
        </is>
      </c>
      <c r="B293" t="inlineStr">
        <is>
          <t>avverkningsanmälan</t>
        </is>
      </c>
      <c r="C293" t="inlineStr">
        <is>
          <t>Föryngringsavverkning</t>
        </is>
      </c>
      <c r="D293" s="1" t="n">
        <v>45789</v>
      </c>
      <c r="E293" s="1" t="n">
        <v>46298</v>
      </c>
      <c r="F293" t="inlineStr">
        <is>
          <t>JÖNKÖPINGS LÄN</t>
        </is>
      </c>
      <c r="G293" t="inlineStr">
        <is>
          <t>HABO</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570-2025</t>
        </is>
      </c>
      <c r="B294" t="inlineStr">
        <is>
          <t>samrådsanmälan</t>
        </is>
      </c>
      <c r="C294" t="inlineStr">
        <is>
          <t>Askåterföring</t>
        </is>
      </c>
      <c r="D294" s="1" t="n">
        <v>45712</v>
      </c>
      <c r="E294" s="1" t="n">
        <v>46298</v>
      </c>
      <c r="F294" t="inlineStr">
        <is>
          <t>JÖNKÖPINGS LÄN</t>
        </is>
      </c>
      <c r="G294" t="inlineStr">
        <is>
          <t>HABO</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585-2025</t>
        </is>
      </c>
      <c r="B295" t="inlineStr">
        <is>
          <t>samrådsanmälan</t>
        </is>
      </c>
      <c r="C295" t="inlineStr">
        <is>
          <t>Askåterföring</t>
        </is>
      </c>
      <c r="D295" s="1" t="n">
        <v>45712</v>
      </c>
      <c r="E295" s="1" t="n">
        <v>46298</v>
      </c>
      <c r="F295" t="inlineStr">
        <is>
          <t>JÖNKÖPINGS LÄN</t>
        </is>
      </c>
      <c r="G295" t="inlineStr">
        <is>
          <t>HABO</t>
        </is>
      </c>
      <c r="I295" t="n">
        <v>50.7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584-2025</t>
        </is>
      </c>
      <c r="B296" t="inlineStr">
        <is>
          <t>samrådsanmälan</t>
        </is>
      </c>
      <c r="C296" t="inlineStr">
        <is>
          <t>Askåterföring</t>
        </is>
      </c>
      <c r="D296" s="1" t="n">
        <v>45712</v>
      </c>
      <c r="E296" s="1" t="n">
        <v>46298</v>
      </c>
      <c r="F296" t="inlineStr">
        <is>
          <t>JÖNKÖPINGS LÄN</t>
        </is>
      </c>
      <c r="G296" t="inlineStr">
        <is>
          <t>HABO</t>
        </is>
      </c>
      <c r="I296" t="n">
        <v>6.1</v>
      </c>
      <c r="J296" t="n">
        <v>0</v>
      </c>
      <c r="K296" t="n">
        <v>0</v>
      </c>
      <c r="L296" t="n">
        <v>0</v>
      </c>
      <c r="M296" t="n">
        <v>0</v>
      </c>
      <c r="N296" t="n">
        <v>0</v>
      </c>
      <c r="O296" t="n">
        <v>0</v>
      </c>
      <c r="P296" t="n">
        <v>0</v>
      </c>
      <c r="Q296" t="n">
        <v>0</v>
      </c>
      <c r="R296" t="n">
        <v>0</v>
      </c>
      <c r="S296" t="n">
        <v>0</v>
      </c>
      <c r="T296" t="n">
        <v>0</v>
      </c>
      <c r="U296" t="n">
        <v>0</v>
      </c>
      <c r="V296" s="2" t="inlineStr"/>
    </row>
    <row r="297">
      <c r="A297" t="inlineStr">
        <is>
          <t>S 923-2025</t>
        </is>
      </c>
      <c r="B297" t="inlineStr">
        <is>
          <t>samrådsanmälan</t>
        </is>
      </c>
      <c r="C297" t="inlineStr">
        <is>
          <t>Askåterföring</t>
        </is>
      </c>
      <c r="D297" s="1" t="n">
        <v>45737</v>
      </c>
      <c r="E297" s="1" t="n">
        <v>46298</v>
      </c>
      <c r="F297" t="inlineStr">
        <is>
          <t>JÖNKÖPINGS LÄN</t>
        </is>
      </c>
      <c r="G297" t="inlineStr">
        <is>
          <t>HABO</t>
        </is>
      </c>
      <c r="I297" t="n">
        <v>17.3</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2026-10-03T02:01:07Z</dcterms:created>
  <dcterms:modified xmlns:dcterms="http://purl.org/dc/terms/" xmlns:xsi="http://www.w3.org/2001/XMLSchema-instance" xsi:type="dcterms:W3CDTF">2026-10-03T02:01:08Z</dcterms:modified>
</cp:coreProperties>
</file>