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45813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45813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45813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45813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45813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45813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45813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45813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45813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45813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45813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45813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45813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26880-2025</t>
        </is>
      </c>
      <c r="B16" s="1" t="n">
        <v>45810</v>
      </c>
      <c r="C16" s="1" t="n">
        <v>45813</v>
      </c>
      <c r="D16" t="inlineStr">
        <is>
          <t>JÖNKÖPINGS LÄN</t>
        </is>
      </c>
      <c r="E16" t="inlineStr">
        <is>
          <t>HABO</t>
        </is>
      </c>
      <c r="G16" t="n">
        <v>11.4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HYPERLINK("https://klasma.github.io/Logging_060643/artfynd/A 26880-2025 artfynd.xlsx", "A 26880-2025")</f>
        <v/>
      </c>
      <c r="T16">
        <f>HYPERLINK("https://klasma.github.io/Logging_060643/kartor/A 26880-2025 karta.png", "A 26880-2025")</f>
        <v/>
      </c>
      <c r="V16">
        <f>HYPERLINK("https://klasma.github.io/Logging_060643/klagomål/A 26880-2025 FSC-klagomål.docx", "A 26880-2025")</f>
        <v/>
      </c>
      <c r="W16">
        <f>HYPERLINK("https://klasma.github.io/Logging_060643/klagomålsmail/A 26880-2025 FSC-klagomål mail.docx", "A 26880-2025")</f>
        <v/>
      </c>
      <c r="X16">
        <f>HYPERLINK("https://klasma.github.io/Logging_060643/tillsyn/A 26880-2025 tillsynsbegäran.docx", "A 26880-2025")</f>
        <v/>
      </c>
      <c r="Y16">
        <f>HYPERLINK("https://klasma.github.io/Logging_060643/tillsynsmail/A 26880-2025 tillsynsbegäran mail.docx", "A 26880-2025")</f>
        <v/>
      </c>
    </row>
    <row r="17" ht="15" customHeight="1">
      <c r="A17" t="inlineStr">
        <is>
          <t>A 17847-2024</t>
        </is>
      </c>
      <c r="B17" s="1" t="n">
        <v>45419</v>
      </c>
      <c r="C17" s="1" t="n">
        <v>45813</v>
      </c>
      <c r="D17" t="inlineStr">
        <is>
          <t>JÖNKÖPINGS LÄN</t>
        </is>
      </c>
      <c r="E17" t="inlineStr">
        <is>
          <t>HABO</t>
        </is>
      </c>
      <c r="G17" t="n">
        <v>3.5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Revlummer</t>
        </is>
      </c>
      <c r="S17">
        <f>HYPERLINK("https://klasma.github.io/Logging_0643/artfynd/A 17847-2024 artfynd.xlsx", "A 17847-2024")</f>
        <v/>
      </c>
      <c r="T17">
        <f>HYPERLINK("https://klasma.github.io/Logging_0643/kartor/A 17847-2024 karta.png", "A 17847-2024")</f>
        <v/>
      </c>
      <c r="U17">
        <f>HYPERLINK("https://klasma.github.io/Logging_0643/knärot/A 17847-2024 karta knärot.png", "A 17847-2024")</f>
        <v/>
      </c>
      <c r="V17">
        <f>HYPERLINK("https://klasma.github.io/Logging_0643/klagomål/A 17847-2024 FSC-klagomål.docx", "A 17847-2024")</f>
        <v/>
      </c>
      <c r="W17">
        <f>HYPERLINK("https://klasma.github.io/Logging_0643/klagomålsmail/A 17847-2024 FSC-klagomål mail.docx", "A 17847-2024")</f>
        <v/>
      </c>
      <c r="X17">
        <f>HYPERLINK("https://klasma.github.io/Logging_0643/tillsyn/A 17847-2024 tillsynsbegäran.docx", "A 17847-2024")</f>
        <v/>
      </c>
      <c r="Y17">
        <f>HYPERLINK("https://klasma.github.io/Logging_0643/tillsynsmail/A 17847-2024 tillsynsbegäran mail.docx", "A 17847-2024")</f>
        <v/>
      </c>
      <c r="Z17">
        <f>HYPERLINK("https://klasma.github.io/Logging_0643/fåglar/A 17847-2024 prioriterade fågelarter.docx", "A 17847-2024")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45813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28847-2022</t>
        </is>
      </c>
      <c r="B19" s="1" t="n">
        <v>44749</v>
      </c>
      <c r="C19" s="1" t="n">
        <v>45813</v>
      </c>
      <c r="D19" t="inlineStr">
        <is>
          <t>JÖNKÖPINGS LÄN</t>
        </is>
      </c>
      <c r="E19" t="inlineStr">
        <is>
          <t>HABO</t>
        </is>
      </c>
      <c r="G19" t="n">
        <v>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Zontaggsvamp</t>
        </is>
      </c>
      <c r="S19">
        <f>HYPERLINK("https://klasma.github.io/Logging_0643/artfynd/A 28847-2022 artfynd.xlsx", "A 28847-2022")</f>
        <v/>
      </c>
      <c r="T19">
        <f>HYPERLINK("https://klasma.github.io/Logging_0643/kartor/A 28847-2022 karta.png", "A 28847-2022")</f>
        <v/>
      </c>
      <c r="V19">
        <f>HYPERLINK("https://klasma.github.io/Logging_0643/klagomål/A 28847-2022 FSC-klagomål.docx", "A 28847-2022")</f>
        <v/>
      </c>
      <c r="W19">
        <f>HYPERLINK("https://klasma.github.io/Logging_0643/klagomålsmail/A 28847-2022 FSC-klagomål mail.docx", "A 28847-2022")</f>
        <v/>
      </c>
      <c r="X19">
        <f>HYPERLINK("https://klasma.github.io/Logging_0643/tillsyn/A 28847-2022 tillsynsbegäran.docx", "A 28847-2022")</f>
        <v/>
      </c>
      <c r="Y19">
        <f>HYPERLINK("https://klasma.github.io/Logging_0643/tillsynsmail/A 28847-2022 tillsynsbegäran mail.docx", "A 28847-2022")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45813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43324-2024</t>
        </is>
      </c>
      <c r="B21" s="1" t="n">
        <v>45568</v>
      </c>
      <c r="C21" s="1" t="n">
        <v>45813</v>
      </c>
      <c r="D21" t="inlineStr">
        <is>
          <t>JÖNKÖPINGS LÄN</t>
        </is>
      </c>
      <c r="E21" t="inlineStr">
        <is>
          <t>HABO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Blomkålssvamp</t>
        </is>
      </c>
      <c r="S21">
        <f>HYPERLINK("https://klasma.github.io/Logging_0643/artfynd/A 43324-2024 artfynd.xlsx", "A 43324-2024")</f>
        <v/>
      </c>
      <c r="T21">
        <f>HYPERLINK("https://klasma.github.io/Logging_0643/kartor/A 43324-2024 karta.png", "A 43324-2024")</f>
        <v/>
      </c>
      <c r="V21">
        <f>HYPERLINK("https://klasma.github.io/Logging_0643/klagomål/A 43324-2024 FSC-klagomål.docx", "A 43324-2024")</f>
        <v/>
      </c>
      <c r="W21">
        <f>HYPERLINK("https://klasma.github.io/Logging_0643/klagomålsmail/A 43324-2024 FSC-klagomål mail.docx", "A 43324-2024")</f>
        <v/>
      </c>
      <c r="X21">
        <f>HYPERLINK("https://klasma.github.io/Logging_0643/tillsyn/A 43324-2024 tillsynsbegäran.docx", "A 43324-2024")</f>
        <v/>
      </c>
      <c r="Y21">
        <f>HYPERLINK("https://klasma.github.io/Logging_0643/tillsynsmail/A 43324-2024 tillsynsbegäran mail.docx", "A 43324-2024")</f>
        <v/>
      </c>
    </row>
    <row r="22" ht="15" customHeight="1">
      <c r="A22" t="inlineStr">
        <is>
          <t>A 57916-2024</t>
        </is>
      </c>
      <c r="B22" s="1" t="n">
        <v>45631</v>
      </c>
      <c r="C22" s="1" t="n">
        <v>45813</v>
      </c>
      <c r="D22" t="inlineStr">
        <is>
          <t>JÖNKÖPINGS LÄN</t>
        </is>
      </c>
      <c r="E22" t="inlineStr">
        <is>
          <t>HABO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HYPERLINK("https://klasma.github.io/Logging_0643/artfynd/A 57916-2024 artfynd.xlsx", "A 57916-2024")</f>
        <v/>
      </c>
      <c r="T22">
        <f>HYPERLINK("https://klasma.github.io/Logging_0643/kartor/A 57916-2024 karta.png", "A 57916-2024")</f>
        <v/>
      </c>
      <c r="V22">
        <f>HYPERLINK("https://klasma.github.io/Logging_0643/klagomål/A 57916-2024 FSC-klagomål.docx", "A 57916-2024")</f>
        <v/>
      </c>
      <c r="W22">
        <f>HYPERLINK("https://klasma.github.io/Logging_0643/klagomålsmail/A 57916-2024 FSC-klagomål mail.docx", "A 57916-2024")</f>
        <v/>
      </c>
      <c r="X22">
        <f>HYPERLINK("https://klasma.github.io/Logging_0643/tillsyn/A 57916-2024 tillsynsbegäran.docx", "A 57916-2024")</f>
        <v/>
      </c>
      <c r="Y22">
        <f>HYPERLINK("https://klasma.github.io/Logging_0643/tillsynsmail/A 57916-2024 tillsynsbegäran mail.docx", "A 57916-2024")</f>
        <v/>
      </c>
    </row>
    <row r="23" ht="15" customHeight="1">
      <c r="A23" t="inlineStr">
        <is>
          <t>A 58663-2024</t>
        </is>
      </c>
      <c r="B23" s="1" t="n">
        <v>45635</v>
      </c>
      <c r="C23" s="1" t="n">
        <v>45813</v>
      </c>
      <c r="D23" t="inlineStr">
        <is>
          <t>JÖNKÖPINGS LÄN</t>
        </is>
      </c>
      <c r="E23" t="inlineStr">
        <is>
          <t>HABO</t>
        </is>
      </c>
      <c r="G23" t="n">
        <v>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Rhithrogena germanica</t>
        </is>
      </c>
      <c r="S23">
        <f>HYPERLINK("https://klasma.github.io/Logging_0643/artfynd/A 58663-2024 artfynd.xlsx", "A 58663-2024")</f>
        <v/>
      </c>
      <c r="T23">
        <f>HYPERLINK("https://klasma.github.io/Logging_0643/kartor/A 58663-2024 karta.png", "A 58663-2024")</f>
        <v/>
      </c>
      <c r="V23">
        <f>HYPERLINK("https://klasma.github.io/Logging_0643/klagomål/A 58663-2024 FSC-klagomål.docx", "A 58663-2024")</f>
        <v/>
      </c>
      <c r="W23">
        <f>HYPERLINK("https://klasma.github.io/Logging_0643/klagomålsmail/A 58663-2024 FSC-klagomål mail.docx", "A 58663-2024")</f>
        <v/>
      </c>
      <c r="X23">
        <f>HYPERLINK("https://klasma.github.io/Logging_0643/tillsyn/A 58663-2024 tillsynsbegäran.docx", "A 58663-2024")</f>
        <v/>
      </c>
      <c r="Y23">
        <f>HYPERLINK("https://klasma.github.io/Logging_0643/tillsynsmail/A 58663-2024 tillsynsbegäran mail.docx", "A 58663-2024")</f>
        <v/>
      </c>
    </row>
    <row r="24" ht="15" customHeight="1">
      <c r="A24" t="inlineStr">
        <is>
          <t>A 58667-2024</t>
        </is>
      </c>
      <c r="B24" s="1" t="n">
        <v>45635</v>
      </c>
      <c r="C24" s="1" t="n">
        <v>45813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Vaddporing</t>
        </is>
      </c>
      <c r="S24">
        <f>HYPERLINK("https://klasma.github.io/Logging_0643/artfynd/A 58667-2024 artfynd.xlsx", "A 58667-2024")</f>
        <v/>
      </c>
      <c r="T24">
        <f>HYPERLINK("https://klasma.github.io/Logging_0643/kartor/A 58667-2024 karta.png", "A 58667-2024")</f>
        <v/>
      </c>
      <c r="U24">
        <f>HYPERLINK("https://klasma.github.io/Logging_0643/knärot/A 58667-2024 karta knärot.png", "A 58667-2024")</f>
        <v/>
      </c>
      <c r="V24">
        <f>HYPERLINK("https://klasma.github.io/Logging_0643/klagomål/A 58667-2024 FSC-klagomål.docx", "A 58667-2024")</f>
        <v/>
      </c>
      <c r="W24">
        <f>HYPERLINK("https://klasma.github.io/Logging_0643/klagomålsmail/A 58667-2024 FSC-klagomål mail.docx", "A 58667-2024")</f>
        <v/>
      </c>
      <c r="X24">
        <f>HYPERLINK("https://klasma.github.io/Logging_0643/tillsyn/A 58667-2024 tillsynsbegäran.docx", "A 58667-2024")</f>
        <v/>
      </c>
      <c r="Y24">
        <f>HYPERLINK("https://klasma.github.io/Logging_0643/tillsynsmail/A 58667-2024 tillsynsbegäran mail.docx", "A 58667-2024")</f>
        <v/>
      </c>
    </row>
    <row r="25" ht="15" customHeight="1">
      <c r="A25" t="inlineStr">
        <is>
          <t>A 26934-2025</t>
        </is>
      </c>
      <c r="B25" s="1" t="n">
        <v>45811</v>
      </c>
      <c r="C25" s="1" t="n">
        <v>45813</v>
      </c>
      <c r="D25" t="inlineStr">
        <is>
          <t>JÖNKÖPINGS LÄN</t>
        </is>
      </c>
      <c r="E25" t="inlineStr">
        <is>
          <t>HABO</t>
        </is>
      </c>
      <c r="G25" t="n">
        <v>7.4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Tallriska
Talltita</t>
        </is>
      </c>
      <c r="S25">
        <f>HYPERLINK("https://klasma.github.io/Logging_060643/artfynd/A 26934-2025 artfynd.xlsx", "A 26934-2025")</f>
        <v/>
      </c>
      <c r="T25">
        <f>HYPERLINK("https://klasma.github.io/Logging_060643/kartor/A 26934-2025 karta.png", "A 26934-2025")</f>
        <v/>
      </c>
      <c r="V25">
        <f>HYPERLINK("https://klasma.github.io/Logging_060643/klagomål/A 26934-2025 FSC-klagomål.docx", "A 26934-2025")</f>
        <v/>
      </c>
      <c r="W25">
        <f>HYPERLINK("https://klasma.github.io/Logging_060643/klagomålsmail/A 26934-2025 FSC-klagomål mail.docx", "A 26934-2025")</f>
        <v/>
      </c>
      <c r="X25">
        <f>HYPERLINK("https://klasma.github.io/Logging_060643/tillsyn/A 26934-2025 tillsynsbegäran.docx", "A 26934-2025")</f>
        <v/>
      </c>
      <c r="Y25">
        <f>HYPERLINK("https://klasma.github.io/Logging_060643/tillsynsmail/A 26934-2025 tillsynsbegäran mail.docx", "A 26934-2025")</f>
        <v/>
      </c>
      <c r="Z25">
        <f>HYPERLINK("https://klasma.github.io/Logging_060643/fåglar/A 26934-2025 prioriterade fågelarter.docx", "A 26934-2025")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45813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45813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56290-2023</t>
        </is>
      </c>
      <c r="B28" s="1" t="n">
        <v>45242</v>
      </c>
      <c r="C28" s="1" t="n">
        <v>45813</v>
      </c>
      <c r="D28" t="inlineStr">
        <is>
          <t>JÖNKÖPINGS LÄN</t>
        </is>
      </c>
      <c r="E28" t="inlineStr">
        <is>
          <t>HABO</t>
        </is>
      </c>
      <c r="G28" t="n">
        <v>13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Drillsnäppa</t>
        </is>
      </c>
      <c r="S28">
        <f>HYPERLINK("https://klasma.github.io/Logging_0643/artfynd/A 56290-2023 artfynd.xlsx", "A 56290-2023")</f>
        <v/>
      </c>
      <c r="T28">
        <f>HYPERLINK("https://klasma.github.io/Logging_0643/kartor/A 56290-2023 karta.png", "A 56290-2023")</f>
        <v/>
      </c>
      <c r="V28">
        <f>HYPERLINK("https://klasma.github.io/Logging_0643/klagomål/A 56290-2023 FSC-klagomål.docx", "A 56290-2023")</f>
        <v/>
      </c>
      <c r="W28">
        <f>HYPERLINK("https://klasma.github.io/Logging_0643/klagomålsmail/A 56290-2023 FSC-klagomål mail.docx", "A 56290-2023")</f>
        <v/>
      </c>
      <c r="X28">
        <f>HYPERLINK("https://klasma.github.io/Logging_0643/tillsyn/A 56290-2023 tillsynsbegäran.docx", "A 56290-2023")</f>
        <v/>
      </c>
      <c r="Y28">
        <f>HYPERLINK("https://klasma.github.io/Logging_0643/tillsynsmail/A 56290-2023 tillsynsbegäran mail.docx", "A 56290-2023")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45813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49866-2024</t>
        </is>
      </c>
      <c r="B30" s="1" t="n">
        <v>45597</v>
      </c>
      <c r="C30" s="1" t="n">
        <v>45813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58644-2024</t>
        </is>
      </c>
      <c r="B31" s="1" t="n">
        <v>45635</v>
      </c>
      <c r="C31" s="1" t="n">
        <v>45813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HYPERLINK("https://klasma.github.io/Logging_0643/artfynd/A 58644-2024 artfynd.xlsx", "A 58644-2024")</f>
        <v/>
      </c>
      <c r="T31">
        <f>HYPERLINK("https://klasma.github.io/Logging_0643/kartor/A 58644-2024 karta.png", "A 58644-2024")</f>
        <v/>
      </c>
      <c r="V31">
        <f>HYPERLINK("https://klasma.github.io/Logging_0643/klagomål/A 58644-2024 FSC-klagomål.docx", "A 58644-2024")</f>
        <v/>
      </c>
      <c r="W31">
        <f>HYPERLINK("https://klasma.github.io/Logging_0643/klagomålsmail/A 58644-2024 FSC-klagomål mail.docx", "A 58644-2024")</f>
        <v/>
      </c>
      <c r="X31">
        <f>HYPERLINK("https://klasma.github.io/Logging_0643/tillsyn/A 58644-2024 tillsynsbegäran.docx", "A 58644-2024")</f>
        <v/>
      </c>
      <c r="Y31">
        <f>HYPERLINK("https://klasma.github.io/Logging_0643/tillsynsmail/A 58644-2024 tillsynsbegäran mail.docx", "A 58644-2024")</f>
        <v/>
      </c>
    </row>
    <row r="32" ht="15" customHeight="1">
      <c r="A32" t="inlineStr">
        <is>
          <t>A 2545-2025</t>
        </is>
      </c>
      <c r="B32" s="1" t="n">
        <v>45674</v>
      </c>
      <c r="C32" s="1" t="n">
        <v>45813</v>
      </c>
      <c r="D32" t="inlineStr">
        <is>
          <t>JÖNKÖPINGS LÄN</t>
        </is>
      </c>
      <c r="E32" t="inlineStr">
        <is>
          <t>HABO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2545-2025 artfynd.xlsx", "A 2545-2025")</f>
        <v/>
      </c>
      <c r="T32">
        <f>HYPERLINK("https://klasma.github.io/Logging_0643/kartor/A 2545-2025 karta.png", "A 2545-2025")</f>
        <v/>
      </c>
      <c r="V32">
        <f>HYPERLINK("https://klasma.github.io/Logging_0643/klagomål/A 2545-2025 FSC-klagomål.docx", "A 2545-2025")</f>
        <v/>
      </c>
      <c r="W32">
        <f>HYPERLINK("https://klasma.github.io/Logging_0643/klagomålsmail/A 2545-2025 FSC-klagomål mail.docx", "A 2545-2025")</f>
        <v/>
      </c>
      <c r="X32">
        <f>HYPERLINK("https://klasma.github.io/Logging_0643/tillsyn/A 2545-2025 tillsynsbegäran.docx", "A 2545-2025")</f>
        <v/>
      </c>
      <c r="Y32">
        <f>HYPERLINK("https://klasma.github.io/Logging_0643/tillsynsmail/A 2545-2025 tillsynsbegäran mail.docx", "A 2545-2025")</f>
        <v/>
      </c>
    </row>
    <row r="33" ht="15" customHeight="1">
      <c r="A33" t="inlineStr">
        <is>
          <t>A 14704-2025</t>
        </is>
      </c>
      <c r="B33" s="1" t="n">
        <v>45742</v>
      </c>
      <c r="C33" s="1" t="n">
        <v>45813</v>
      </c>
      <c r="D33" t="inlineStr">
        <is>
          <t>JÖNKÖPINGS LÄN</t>
        </is>
      </c>
      <c r="E33" t="inlineStr">
        <is>
          <t>HABO</t>
        </is>
      </c>
      <c r="G33" t="n">
        <v>14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HYPERLINK("https://klasma.github.io/Logging_060643/artfynd/A 14704-2025 artfynd.xlsx", "A 14704-2025")</f>
        <v/>
      </c>
      <c r="T33">
        <f>HYPERLINK("https://klasma.github.io/Logging_060643/kartor/A 14704-2025 karta.png", "A 14704-2025")</f>
        <v/>
      </c>
      <c r="V33">
        <f>HYPERLINK("https://klasma.github.io/Logging_060643/klagomål/A 14704-2025 FSC-klagomål.docx", "A 14704-2025")</f>
        <v/>
      </c>
      <c r="W33">
        <f>HYPERLINK("https://klasma.github.io/Logging_060643/klagomålsmail/A 14704-2025 FSC-klagomål mail.docx", "A 14704-2025")</f>
        <v/>
      </c>
      <c r="X33">
        <f>HYPERLINK("https://klasma.github.io/Logging_060643/tillsyn/A 14704-2025 tillsynsbegäran.docx", "A 14704-2025")</f>
        <v/>
      </c>
      <c r="Y33">
        <f>HYPERLINK("https://klasma.github.io/Logging_060643/tillsynsmail/A 14704-2025 tillsynsbegäran mail.docx", "A 14704-2025")</f>
        <v/>
      </c>
    </row>
    <row r="34" ht="15" customHeight="1">
      <c r="A34" t="inlineStr">
        <is>
          <t>A 14713-2025</t>
        </is>
      </c>
      <c r="B34" s="1" t="n">
        <v>45742</v>
      </c>
      <c r="C34" s="1" t="n">
        <v>45813</v>
      </c>
      <c r="D34" t="inlineStr">
        <is>
          <t>JÖNKÖPINGS LÄN</t>
        </is>
      </c>
      <c r="E34" t="inlineStr">
        <is>
          <t>HABO</t>
        </is>
      </c>
      <c r="G34" t="n">
        <v>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Mellanlummer</t>
        </is>
      </c>
      <c r="S34">
        <f>HYPERLINK("https://klasma.github.io/Logging_060643/artfynd/A 14713-2025 artfynd.xlsx", "A 14713-2025")</f>
        <v/>
      </c>
      <c r="T34">
        <f>HYPERLINK("https://klasma.github.io/Logging_060643/kartor/A 14713-2025 karta.png", "A 14713-2025")</f>
        <v/>
      </c>
      <c r="V34">
        <f>HYPERLINK("https://klasma.github.io/Logging_060643/klagomål/A 14713-2025 FSC-klagomål.docx", "A 14713-2025")</f>
        <v/>
      </c>
      <c r="W34">
        <f>HYPERLINK("https://klasma.github.io/Logging_060643/klagomålsmail/A 14713-2025 FSC-klagomål mail.docx", "A 14713-2025")</f>
        <v/>
      </c>
      <c r="X34">
        <f>HYPERLINK("https://klasma.github.io/Logging_060643/tillsyn/A 14713-2025 tillsynsbegäran.docx", "A 14713-2025")</f>
        <v/>
      </c>
      <c r="Y34">
        <f>HYPERLINK("https://klasma.github.io/Logging_060643/tillsynsmail/A 14713-2025 tillsynsbegäran mail.docx", "A 14713-2025")</f>
        <v/>
      </c>
    </row>
    <row r="35" ht="15" customHeight="1">
      <c r="A35" t="inlineStr">
        <is>
          <t>A 19279-2019</t>
        </is>
      </c>
      <c r="B35" s="1" t="n">
        <v>43565</v>
      </c>
      <c r="C35" s="1" t="n">
        <v>45813</v>
      </c>
      <c r="D35" t="inlineStr">
        <is>
          <t>JÖNKÖPINGS LÄN</t>
        </is>
      </c>
      <c r="E35" t="inlineStr">
        <is>
          <t>HABO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20147-2019</t>
        </is>
      </c>
      <c r="B36" s="1" t="n">
        <v>43570</v>
      </c>
      <c r="C36" s="1" t="n">
        <v>45813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29504-2019</t>
        </is>
      </c>
      <c r="B37" s="1" t="n">
        <v>43627</v>
      </c>
      <c r="C37" s="1" t="n">
        <v>45813</v>
      </c>
      <c r="D37" t="inlineStr">
        <is>
          <t>JÖNKÖPINGS LÄN</t>
        </is>
      </c>
      <c r="E37" t="inlineStr">
        <is>
          <t>HABO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31123-2019</t>
        </is>
      </c>
      <c r="B38" s="1" t="n">
        <v>43640</v>
      </c>
      <c r="C38" s="1" t="n">
        <v>45813</v>
      </c>
      <c r="D38" t="inlineStr">
        <is>
          <t>JÖNKÖPINGS LÄN</t>
        </is>
      </c>
      <c r="E38" t="inlineStr">
        <is>
          <t>HABO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34068-2019</t>
        </is>
      </c>
      <c r="B39" s="1" t="n">
        <v>43654</v>
      </c>
      <c r="C39" s="1" t="n">
        <v>45813</v>
      </c>
      <c r="D39" t="inlineStr">
        <is>
          <t>JÖNKÖPINGS LÄN</t>
        </is>
      </c>
      <c r="E39" t="inlineStr">
        <is>
          <t>HABO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34785-2019</t>
        </is>
      </c>
      <c r="B40" s="1" t="n">
        <v>43658</v>
      </c>
      <c r="C40" s="1" t="n">
        <v>45813</v>
      </c>
      <c r="D40" t="inlineStr">
        <is>
          <t>JÖNKÖPINGS LÄN</t>
        </is>
      </c>
      <c r="E40" t="inlineStr">
        <is>
          <t>HABO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39374-2019</t>
        </is>
      </c>
      <c r="B41" s="1" t="n">
        <v>43690</v>
      </c>
      <c r="C41" s="1" t="n">
        <v>45813</v>
      </c>
      <c r="D41" t="inlineStr">
        <is>
          <t>JÖNKÖPINGS LÄN</t>
        </is>
      </c>
      <c r="E41" t="inlineStr">
        <is>
          <t>HABO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39522-2019</t>
        </is>
      </c>
      <c r="B42" s="1" t="n">
        <v>43691</v>
      </c>
      <c r="C42" s="1" t="n">
        <v>45813</v>
      </c>
      <c r="D42" t="inlineStr">
        <is>
          <t>JÖNKÖPINGS LÄN</t>
        </is>
      </c>
      <c r="E42" t="inlineStr">
        <is>
          <t>HABO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39535-2019</t>
        </is>
      </c>
      <c r="B43" s="1" t="n">
        <v>43691</v>
      </c>
      <c r="C43" s="1" t="n">
        <v>45813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48913-2019</t>
        </is>
      </c>
      <c r="B44" s="1" t="n">
        <v>43728</v>
      </c>
      <c r="C44" s="1" t="n">
        <v>45813</v>
      </c>
      <c r="D44" t="inlineStr">
        <is>
          <t>JÖNKÖPINGS LÄN</t>
        </is>
      </c>
      <c r="E44" t="inlineStr">
        <is>
          <t>HABO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49604-2019</t>
        </is>
      </c>
      <c r="B45" s="1" t="n">
        <v>43732</v>
      </c>
      <c r="C45" s="1" t="n">
        <v>45813</v>
      </c>
      <c r="D45" t="inlineStr">
        <is>
          <t>JÖNKÖPINGS LÄN</t>
        </is>
      </c>
      <c r="E45" t="inlineStr">
        <is>
          <t>HABO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49790-2019</t>
        </is>
      </c>
      <c r="B46" s="1" t="n">
        <v>43733</v>
      </c>
      <c r="C46" s="1" t="n">
        <v>45813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53926-2019</t>
        </is>
      </c>
      <c r="B47" s="1" t="n">
        <v>43742</v>
      </c>
      <c r="C47" s="1" t="n">
        <v>45813</v>
      </c>
      <c r="D47" t="inlineStr">
        <is>
          <t>JÖNKÖPINGS LÄN</t>
        </is>
      </c>
      <c r="E47" t="inlineStr">
        <is>
          <t>HABO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58447-2019</t>
        </is>
      </c>
      <c r="B48" s="1" t="n">
        <v>43773</v>
      </c>
      <c r="C48" s="1" t="n">
        <v>45813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58746-2019</t>
        </is>
      </c>
      <c r="B49" s="1" t="n">
        <v>43773</v>
      </c>
      <c r="C49" s="1" t="n">
        <v>45813</v>
      </c>
      <c r="D49" t="inlineStr">
        <is>
          <t>JÖNKÖPINGS LÄN</t>
        </is>
      </c>
      <c r="E49" t="inlineStr">
        <is>
          <t>HABO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59764-2019</t>
        </is>
      </c>
      <c r="B50" s="1" t="n">
        <v>43776</v>
      </c>
      <c r="C50" s="1" t="n">
        <v>45813</v>
      </c>
      <c r="D50" t="inlineStr">
        <is>
          <t>JÖNKÖPINGS LÄN</t>
        </is>
      </c>
      <c r="E50" t="inlineStr">
        <is>
          <t>HABO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59768-2019</t>
        </is>
      </c>
      <c r="B51" s="1" t="n">
        <v>43776</v>
      </c>
      <c r="C51" s="1" t="n">
        <v>45813</v>
      </c>
      <c r="D51" t="inlineStr">
        <is>
          <t>JÖNKÖPINGS LÄN</t>
        </is>
      </c>
      <c r="E51" t="inlineStr">
        <is>
          <t>HABO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60520-2019</t>
        </is>
      </c>
      <c r="B52" s="1" t="n">
        <v>43781</v>
      </c>
      <c r="C52" s="1" t="n">
        <v>45813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60518-2019</t>
        </is>
      </c>
      <c r="B53" s="1" t="n">
        <v>43781</v>
      </c>
      <c r="C53" s="1" t="n">
        <v>45813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61420-2019</t>
        </is>
      </c>
      <c r="B54" s="1" t="n">
        <v>43783</v>
      </c>
      <c r="C54" s="1" t="n">
        <v>45813</v>
      </c>
      <c r="D54" t="inlineStr">
        <is>
          <t>JÖNKÖPINGS LÄN</t>
        </is>
      </c>
      <c r="E54" t="inlineStr">
        <is>
          <t>HABO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62647-2019</t>
        </is>
      </c>
      <c r="B55" s="1" t="n">
        <v>43789</v>
      </c>
      <c r="C55" s="1" t="n">
        <v>45813</v>
      </c>
      <c r="D55" t="inlineStr">
        <is>
          <t>JÖNKÖPINGS LÄN</t>
        </is>
      </c>
      <c r="E55" t="inlineStr">
        <is>
          <t>HABO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64751-2019</t>
        </is>
      </c>
      <c r="B56" s="1" t="n">
        <v>43801</v>
      </c>
      <c r="C56" s="1" t="n">
        <v>45813</v>
      </c>
      <c r="D56" t="inlineStr">
        <is>
          <t>JÖNKÖPINGS LÄN</t>
        </is>
      </c>
      <c r="E56" t="inlineStr">
        <is>
          <t>HABO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1013-2020</t>
        </is>
      </c>
      <c r="B57" s="1" t="n">
        <v>43839</v>
      </c>
      <c r="C57" s="1" t="n">
        <v>45813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3746-2020</t>
        </is>
      </c>
      <c r="B58" s="1" t="n">
        <v>43854</v>
      </c>
      <c r="C58" s="1" t="n">
        <v>45813</v>
      </c>
      <c r="D58" t="inlineStr">
        <is>
          <t>JÖNKÖPINGS LÄN</t>
        </is>
      </c>
      <c r="E58" t="inlineStr">
        <is>
          <t>HABO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4175-2020</t>
        </is>
      </c>
      <c r="B59" s="1" t="n">
        <v>43857</v>
      </c>
      <c r="C59" s="1" t="n">
        <v>45813</v>
      </c>
      <c r="D59" t="inlineStr">
        <is>
          <t>JÖNKÖPINGS LÄN</t>
        </is>
      </c>
      <c r="E59" t="inlineStr">
        <is>
          <t>HABO</t>
        </is>
      </c>
      <c r="F59" t="inlineStr">
        <is>
          <t>Kyrkan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4684-2020</t>
        </is>
      </c>
      <c r="B60" s="1" t="n">
        <v>43858</v>
      </c>
      <c r="C60" s="1" t="n">
        <v>45813</v>
      </c>
      <c r="D60" t="inlineStr">
        <is>
          <t>JÖNKÖPINGS LÄN</t>
        </is>
      </c>
      <c r="E60" t="inlineStr">
        <is>
          <t>HABO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4675-2020</t>
        </is>
      </c>
      <c r="B61" s="1" t="n">
        <v>43858</v>
      </c>
      <c r="C61" s="1" t="n">
        <v>45813</v>
      </c>
      <c r="D61" t="inlineStr">
        <is>
          <t>JÖNKÖPINGS LÄN</t>
        </is>
      </c>
      <c r="E61" t="inlineStr">
        <is>
          <t>HABO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19956-2020</t>
        </is>
      </c>
      <c r="B62" s="1" t="n">
        <v>43943</v>
      </c>
      <c r="C62" s="1" t="n">
        <v>45813</v>
      </c>
      <c r="D62" t="inlineStr">
        <is>
          <t>JÖNKÖPINGS LÄN</t>
        </is>
      </c>
      <c r="E62" t="inlineStr">
        <is>
          <t>HABO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28729-2020</t>
        </is>
      </c>
      <c r="B63" s="1" t="n">
        <v>43999</v>
      </c>
      <c r="C63" s="1" t="n">
        <v>45813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33272-2020</t>
        </is>
      </c>
      <c r="B64" s="1" t="n">
        <v>44022</v>
      </c>
      <c r="C64" s="1" t="n">
        <v>45813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36230-2020</t>
        </is>
      </c>
      <c r="B65" s="1" t="n">
        <v>44049</v>
      </c>
      <c r="C65" s="1" t="n">
        <v>45813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55788-2020</t>
        </is>
      </c>
      <c r="B66" s="1" t="n">
        <v>44132</v>
      </c>
      <c r="C66" s="1" t="n">
        <v>45813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56917-2020</t>
        </is>
      </c>
      <c r="B67" s="1" t="n">
        <v>44137</v>
      </c>
      <c r="C67" s="1" t="n">
        <v>45813</v>
      </c>
      <c r="D67" t="inlineStr">
        <is>
          <t>JÖNKÖPINGS LÄN</t>
        </is>
      </c>
      <c r="E67" t="inlineStr">
        <is>
          <t>HABO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63523-2020</t>
        </is>
      </c>
      <c r="B68" s="1" t="n">
        <v>44165</v>
      </c>
      <c r="C68" s="1" t="n">
        <v>45813</v>
      </c>
      <c r="D68" t="inlineStr">
        <is>
          <t>JÖNKÖPINGS LÄN</t>
        </is>
      </c>
      <c r="E68" t="inlineStr">
        <is>
          <t>HABO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64669-2020</t>
        </is>
      </c>
      <c r="B69" s="1" t="n">
        <v>44169</v>
      </c>
      <c r="C69" s="1" t="n">
        <v>45813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65890-2020</t>
        </is>
      </c>
      <c r="B70" s="1" t="n">
        <v>44174</v>
      </c>
      <c r="C70" s="1" t="n">
        <v>45813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66444-2020</t>
        </is>
      </c>
      <c r="B71" s="1" t="n">
        <v>44176</v>
      </c>
      <c r="C71" s="1" t="n">
        <v>45813</v>
      </c>
      <c r="D71" t="inlineStr">
        <is>
          <t>JÖNKÖPINGS LÄN</t>
        </is>
      </c>
      <c r="E71" t="inlineStr">
        <is>
          <t>HABO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1388-2021</t>
        </is>
      </c>
      <c r="B72" s="1" t="n">
        <v>44208</v>
      </c>
      <c r="C72" s="1" t="n">
        <v>45813</v>
      </c>
      <c r="D72" t="inlineStr">
        <is>
          <t>JÖNKÖPINGS LÄN</t>
        </is>
      </c>
      <c r="E72" t="inlineStr">
        <is>
          <t>HABO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1396-2021</t>
        </is>
      </c>
      <c r="B73" s="1" t="n">
        <v>44208</v>
      </c>
      <c r="C73" s="1" t="n">
        <v>45813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1400-2021</t>
        </is>
      </c>
      <c r="B74" s="1" t="n">
        <v>44208</v>
      </c>
      <c r="C74" s="1" t="n">
        <v>45813</v>
      </c>
      <c r="D74" t="inlineStr">
        <is>
          <t>JÖNKÖPINGS LÄN</t>
        </is>
      </c>
      <c r="E74" t="inlineStr">
        <is>
          <t>HABO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1412-2021</t>
        </is>
      </c>
      <c r="B75" s="1" t="n">
        <v>44208</v>
      </c>
      <c r="C75" s="1" t="n">
        <v>45813</v>
      </c>
      <c r="D75" t="inlineStr">
        <is>
          <t>JÖNKÖPINGS LÄN</t>
        </is>
      </c>
      <c r="E75" t="inlineStr">
        <is>
          <t>HABO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7069-2021</t>
        </is>
      </c>
      <c r="B76" s="1" t="n">
        <v>44237</v>
      </c>
      <c r="C76" s="1" t="n">
        <v>45813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7070-2021</t>
        </is>
      </c>
      <c r="B77" s="1" t="n">
        <v>44237</v>
      </c>
      <c r="C77" s="1" t="n">
        <v>45813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10964-2021</t>
        </is>
      </c>
      <c r="B78" s="1" t="n">
        <v>44260</v>
      </c>
      <c r="C78" s="1" t="n">
        <v>45813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12050-2021</t>
        </is>
      </c>
      <c r="B79" s="1" t="n">
        <v>44266</v>
      </c>
      <c r="C79" s="1" t="n">
        <v>45813</v>
      </c>
      <c r="D79" t="inlineStr">
        <is>
          <t>JÖNKÖPINGS LÄN</t>
        </is>
      </c>
      <c r="E79" t="inlineStr">
        <is>
          <t>HABO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13609-2021</t>
        </is>
      </c>
      <c r="B80" s="1" t="n">
        <v>44274</v>
      </c>
      <c r="C80" s="1" t="n">
        <v>45813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23625-2021</t>
        </is>
      </c>
      <c r="B81" s="1" t="n">
        <v>44334</v>
      </c>
      <c r="C81" s="1" t="n">
        <v>45813</v>
      </c>
      <c r="D81" t="inlineStr">
        <is>
          <t>JÖNKÖPINGS LÄN</t>
        </is>
      </c>
      <c r="E81" t="inlineStr">
        <is>
          <t>HABO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26502-2021</t>
        </is>
      </c>
      <c r="B82" s="1" t="n">
        <v>44348</v>
      </c>
      <c r="C82" s="1" t="n">
        <v>45813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28977-2021</t>
        </is>
      </c>
      <c r="B83" s="1" t="n">
        <v>44358</v>
      </c>
      <c r="C83" s="1" t="n">
        <v>45813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29865-2021</t>
        </is>
      </c>
      <c r="B84" s="1" t="n">
        <v>44362</v>
      </c>
      <c r="C84" s="1" t="n">
        <v>45813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34734-2021</t>
        </is>
      </c>
      <c r="B85" s="1" t="n">
        <v>44382</v>
      </c>
      <c r="C85" s="1" t="n">
        <v>45813</v>
      </c>
      <c r="D85" t="inlineStr">
        <is>
          <t>JÖNKÖPINGS LÄN</t>
        </is>
      </c>
      <c r="E85" t="inlineStr">
        <is>
          <t>HABO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34738-2021</t>
        </is>
      </c>
      <c r="B86" s="1" t="n">
        <v>44382</v>
      </c>
      <c r="C86" s="1" t="n">
        <v>45813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35115-2021</t>
        </is>
      </c>
      <c r="B87" s="1" t="n">
        <v>44384</v>
      </c>
      <c r="C87" s="1" t="n">
        <v>45813</v>
      </c>
      <c r="D87" t="inlineStr">
        <is>
          <t>JÖNKÖPINGS LÄN</t>
        </is>
      </c>
      <c r="E87" t="inlineStr">
        <is>
          <t>HABO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40575-2021</t>
        </is>
      </c>
      <c r="B88" s="1" t="n">
        <v>44420</v>
      </c>
      <c r="C88" s="1" t="n">
        <v>45813</v>
      </c>
      <c r="D88" t="inlineStr">
        <is>
          <t>JÖNKÖPINGS LÄN</t>
        </is>
      </c>
      <c r="E88" t="inlineStr">
        <is>
          <t>HABO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41211-2021</t>
        </is>
      </c>
      <c r="B89" s="1" t="n">
        <v>44424</v>
      </c>
      <c r="C89" s="1" t="n">
        <v>45813</v>
      </c>
      <c r="D89" t="inlineStr">
        <is>
          <t>JÖNKÖPINGS LÄN</t>
        </is>
      </c>
      <c r="E89" t="inlineStr">
        <is>
          <t>HABO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41213-2021</t>
        </is>
      </c>
      <c r="B90" s="1" t="n">
        <v>44424</v>
      </c>
      <c r="C90" s="1" t="n">
        <v>45813</v>
      </c>
      <c r="D90" t="inlineStr">
        <is>
          <t>JÖNKÖPINGS LÄN</t>
        </is>
      </c>
      <c r="E90" t="inlineStr">
        <is>
          <t>HABO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41226-2021</t>
        </is>
      </c>
      <c r="B91" s="1" t="n">
        <v>44424</v>
      </c>
      <c r="C91" s="1" t="n">
        <v>45813</v>
      </c>
      <c r="D91" t="inlineStr">
        <is>
          <t>JÖNKÖPINGS LÄN</t>
        </is>
      </c>
      <c r="E91" t="inlineStr">
        <is>
          <t>HABO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41217-2021</t>
        </is>
      </c>
      <c r="B92" s="1" t="n">
        <v>44424</v>
      </c>
      <c r="C92" s="1" t="n">
        <v>45813</v>
      </c>
      <c r="D92" t="inlineStr">
        <is>
          <t>JÖNKÖPINGS LÄN</t>
        </is>
      </c>
      <c r="E92" t="inlineStr">
        <is>
          <t>HABO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41206-2021</t>
        </is>
      </c>
      <c r="B93" s="1" t="n">
        <v>44424</v>
      </c>
      <c r="C93" s="1" t="n">
        <v>45813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41216-2021</t>
        </is>
      </c>
      <c r="B94" s="1" t="n">
        <v>44424</v>
      </c>
      <c r="C94" s="1" t="n">
        <v>45813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41694-2021</t>
        </is>
      </c>
      <c r="B95" s="1" t="n">
        <v>44425</v>
      </c>
      <c r="C95" s="1" t="n">
        <v>45813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42361-2021</t>
        </is>
      </c>
      <c r="B96" s="1" t="n">
        <v>44427</v>
      </c>
      <c r="C96" s="1" t="n">
        <v>45813</v>
      </c>
      <c r="D96" t="inlineStr">
        <is>
          <t>JÖNKÖPINGS LÄN</t>
        </is>
      </c>
      <c r="E96" t="inlineStr">
        <is>
          <t>HABO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45684-2021</t>
        </is>
      </c>
      <c r="B97" s="1" t="n">
        <v>44441</v>
      </c>
      <c r="C97" s="1" t="n">
        <v>45813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49577-2021</t>
        </is>
      </c>
      <c r="B98" s="1" t="n">
        <v>44455</v>
      </c>
      <c r="C98" s="1" t="n">
        <v>45813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51366-2021</t>
        </is>
      </c>
      <c r="B99" s="1" t="n">
        <v>44461</v>
      </c>
      <c r="C99" s="1" t="n">
        <v>45813</v>
      </c>
      <c r="D99" t="inlineStr">
        <is>
          <t>JÖNKÖPINGS LÄN</t>
        </is>
      </c>
      <c r="E99" t="inlineStr">
        <is>
          <t>HABO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53914-2021</t>
        </is>
      </c>
      <c r="B100" s="1" t="n">
        <v>44469</v>
      </c>
      <c r="C100" s="1" t="n">
        <v>45813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54892-2021</t>
        </is>
      </c>
      <c r="B101" s="1" t="n">
        <v>44474</v>
      </c>
      <c r="C101" s="1" t="n">
        <v>45813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58430-2021</t>
        </is>
      </c>
      <c r="B102" s="1" t="n">
        <v>44488</v>
      </c>
      <c r="C102" s="1" t="n">
        <v>45813</v>
      </c>
      <c r="D102" t="inlineStr">
        <is>
          <t>JÖNKÖPINGS LÄN</t>
        </is>
      </c>
      <c r="E102" t="inlineStr">
        <is>
          <t>HABO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58452-2021</t>
        </is>
      </c>
      <c r="B103" s="1" t="n">
        <v>44488</v>
      </c>
      <c r="C103" s="1" t="n">
        <v>45813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58458-2021</t>
        </is>
      </c>
      <c r="B104" s="1" t="n">
        <v>44488</v>
      </c>
      <c r="C104" s="1" t="n">
        <v>45813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61399-2021</t>
        </is>
      </c>
      <c r="B105" s="1" t="n">
        <v>44500</v>
      </c>
      <c r="C105" s="1" t="n">
        <v>45813</v>
      </c>
      <c r="D105" t="inlineStr">
        <is>
          <t>JÖNKÖPINGS LÄN</t>
        </is>
      </c>
      <c r="E105" t="inlineStr">
        <is>
          <t>HABO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68331-2021</t>
        </is>
      </c>
      <c r="B106" s="1" t="n">
        <v>44527</v>
      </c>
      <c r="C106" s="1" t="n">
        <v>45813</v>
      </c>
      <c r="D106" t="inlineStr">
        <is>
          <t>JÖNKÖPINGS LÄN</t>
        </is>
      </c>
      <c r="E106" t="inlineStr">
        <is>
          <t>HABO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68884-2021</t>
        </is>
      </c>
      <c r="B107" s="1" t="n">
        <v>44530</v>
      </c>
      <c r="C107" s="1" t="n">
        <v>45813</v>
      </c>
      <c r="D107" t="inlineStr">
        <is>
          <t>JÖNKÖPINGS LÄN</t>
        </is>
      </c>
      <c r="E107" t="inlineStr">
        <is>
          <t>HABO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68886-2021</t>
        </is>
      </c>
      <c r="B108" s="1" t="n">
        <v>44530</v>
      </c>
      <c r="C108" s="1" t="n">
        <v>45813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69706-2021</t>
        </is>
      </c>
      <c r="B109" s="1" t="n">
        <v>44532</v>
      </c>
      <c r="C109" s="1" t="n">
        <v>45813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532-2022</t>
        </is>
      </c>
      <c r="B110" s="1" t="n">
        <v>44566</v>
      </c>
      <c r="C110" s="1" t="n">
        <v>45813</v>
      </c>
      <c r="D110" t="inlineStr">
        <is>
          <t>JÖNKÖPINGS LÄN</t>
        </is>
      </c>
      <c r="E110" t="inlineStr">
        <is>
          <t>HABO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1004-2022</t>
        </is>
      </c>
      <c r="B111" s="1" t="n">
        <v>44571</v>
      </c>
      <c r="C111" s="1" t="n">
        <v>45813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1876-2022</t>
        </is>
      </c>
      <c r="B112" s="1" t="n">
        <v>44575</v>
      </c>
      <c r="C112" s="1" t="n">
        <v>45813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10432-2022</t>
        </is>
      </c>
      <c r="B113" s="1" t="n">
        <v>44623</v>
      </c>
      <c r="C113" s="1" t="n">
        <v>45813</v>
      </c>
      <c r="D113" t="inlineStr">
        <is>
          <t>JÖNKÖPINGS LÄN</t>
        </is>
      </c>
      <c r="E113" t="inlineStr">
        <is>
          <t>HABO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10943-2022</t>
        </is>
      </c>
      <c r="B114" s="1" t="n">
        <v>44628</v>
      </c>
      <c r="C114" s="1" t="n">
        <v>45813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11075-2022</t>
        </is>
      </c>
      <c r="B115" s="1" t="n">
        <v>44628</v>
      </c>
      <c r="C115" s="1" t="n">
        <v>45813</v>
      </c>
      <c r="D115" t="inlineStr">
        <is>
          <t>JÖNKÖPINGS LÄN</t>
        </is>
      </c>
      <c r="E115" t="inlineStr">
        <is>
          <t>HABO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12592-2022</t>
        </is>
      </c>
      <c r="B116" s="1" t="n">
        <v>44640</v>
      </c>
      <c r="C116" s="1" t="n">
        <v>45813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13250-2022</t>
        </is>
      </c>
      <c r="B117" s="1" t="n">
        <v>44644</v>
      </c>
      <c r="C117" s="1" t="n">
        <v>45813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16307-2022</t>
        </is>
      </c>
      <c r="B118" s="1" t="n">
        <v>44670</v>
      </c>
      <c r="C118" s="1" t="n">
        <v>45813</v>
      </c>
      <c r="D118" t="inlineStr">
        <is>
          <t>JÖNKÖPINGS LÄN</t>
        </is>
      </c>
      <c r="E118" t="inlineStr">
        <is>
          <t>HABO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16226-2022</t>
        </is>
      </c>
      <c r="B119" s="1" t="n">
        <v>44670</v>
      </c>
      <c r="C119" s="1" t="n">
        <v>45813</v>
      </c>
      <c r="D119" t="inlineStr">
        <is>
          <t>JÖNKÖPINGS LÄN</t>
        </is>
      </c>
      <c r="E119" t="inlineStr">
        <is>
          <t>HABO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17873-2022</t>
        </is>
      </c>
      <c r="B120" s="1" t="n">
        <v>44683</v>
      </c>
      <c r="C120" s="1" t="n">
        <v>45813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17871-2022</t>
        </is>
      </c>
      <c r="B121" s="1" t="n">
        <v>44683</v>
      </c>
      <c r="C121" s="1" t="n">
        <v>45813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19570-2022</t>
        </is>
      </c>
      <c r="B122" s="1" t="n">
        <v>44693</v>
      </c>
      <c r="C122" s="1" t="n">
        <v>45813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19569-2022</t>
        </is>
      </c>
      <c r="B123" s="1" t="n">
        <v>44693</v>
      </c>
      <c r="C123" s="1" t="n">
        <v>45813</v>
      </c>
      <c r="D123" t="inlineStr">
        <is>
          <t>JÖNKÖPINGS LÄN</t>
        </is>
      </c>
      <c r="E123" t="inlineStr">
        <is>
          <t>HABO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24701-2022</t>
        </is>
      </c>
      <c r="B124" s="1" t="n">
        <v>44727</v>
      </c>
      <c r="C124" s="1" t="n">
        <v>45813</v>
      </c>
      <c r="D124" t="inlineStr">
        <is>
          <t>JÖNKÖPINGS LÄN</t>
        </is>
      </c>
      <c r="E124" t="inlineStr">
        <is>
          <t>HABO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28813-2022</t>
        </is>
      </c>
      <c r="B125" s="1" t="n">
        <v>44749</v>
      </c>
      <c r="C125" s="1" t="n">
        <v>45813</v>
      </c>
      <c r="D125" t="inlineStr">
        <is>
          <t>JÖNKÖPINGS LÄN</t>
        </is>
      </c>
      <c r="E125" t="inlineStr">
        <is>
          <t>HABO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45813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28816-2022</t>
        </is>
      </c>
      <c r="B127" s="1" t="n">
        <v>44749</v>
      </c>
      <c r="C127" s="1" t="n">
        <v>45813</v>
      </c>
      <c r="D127" t="inlineStr">
        <is>
          <t>JÖNKÖPINGS LÄN</t>
        </is>
      </c>
      <c r="E127" t="inlineStr">
        <is>
          <t>HABO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28810-2022</t>
        </is>
      </c>
      <c r="B128" s="1" t="n">
        <v>44749</v>
      </c>
      <c r="C128" s="1" t="n">
        <v>45813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28817-2022</t>
        </is>
      </c>
      <c r="B129" s="1" t="n">
        <v>44749</v>
      </c>
      <c r="C129" s="1" t="n">
        <v>45813</v>
      </c>
      <c r="D129" t="inlineStr">
        <is>
          <t>JÖNKÖPINGS LÄN</t>
        </is>
      </c>
      <c r="E129" t="inlineStr">
        <is>
          <t>HABO</t>
        </is>
      </c>
      <c r="G129" t="n">
        <v>22.4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28825-2022</t>
        </is>
      </c>
      <c r="B130" s="1" t="n">
        <v>44749</v>
      </c>
      <c r="C130" s="1" t="n">
        <v>45813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31112-2022</t>
        </is>
      </c>
      <c r="B131" s="1" t="n">
        <v>44769</v>
      </c>
      <c r="C131" s="1" t="n">
        <v>45813</v>
      </c>
      <c r="D131" t="inlineStr">
        <is>
          <t>JÖNKÖPINGS LÄN</t>
        </is>
      </c>
      <c r="E131" t="inlineStr">
        <is>
          <t>HABO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31591-2022</t>
        </is>
      </c>
      <c r="B132" s="1" t="n">
        <v>44775</v>
      </c>
      <c r="C132" s="1" t="n">
        <v>45813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32545-2022</t>
        </is>
      </c>
      <c r="B133" s="1" t="n">
        <v>44783</v>
      </c>
      <c r="C133" s="1" t="n">
        <v>45813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35148-2022</t>
        </is>
      </c>
      <c r="B134" s="1" t="n">
        <v>44797</v>
      </c>
      <c r="C134" s="1" t="n">
        <v>45813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35574-2022</t>
        </is>
      </c>
      <c r="B135" s="1" t="n">
        <v>44799</v>
      </c>
      <c r="C135" s="1" t="n">
        <v>45813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35626-2022</t>
        </is>
      </c>
      <c r="B136" s="1" t="n">
        <v>44799</v>
      </c>
      <c r="C136" s="1" t="n">
        <v>45813</v>
      </c>
      <c r="D136" t="inlineStr">
        <is>
          <t>JÖNKÖPINGS LÄN</t>
        </is>
      </c>
      <c r="E136" t="inlineStr">
        <is>
          <t>HABO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35775-2022</t>
        </is>
      </c>
      <c r="B137" s="1" t="n">
        <v>44801</v>
      </c>
      <c r="C137" s="1" t="n">
        <v>45813</v>
      </c>
      <c r="D137" t="inlineStr">
        <is>
          <t>JÖNKÖPINGS LÄN</t>
        </is>
      </c>
      <c r="E137" t="inlineStr">
        <is>
          <t>HABO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35779-2022</t>
        </is>
      </c>
      <c r="B138" s="1" t="n">
        <v>44801</v>
      </c>
      <c r="C138" s="1" t="n">
        <v>45813</v>
      </c>
      <c r="D138" t="inlineStr">
        <is>
          <t>JÖNKÖPINGS LÄN</t>
        </is>
      </c>
      <c r="E138" t="inlineStr">
        <is>
          <t>HABO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35774-2022</t>
        </is>
      </c>
      <c r="B139" s="1" t="n">
        <v>44801</v>
      </c>
      <c r="C139" s="1" t="n">
        <v>45813</v>
      </c>
      <c r="D139" t="inlineStr">
        <is>
          <t>JÖNKÖPINGS LÄN</t>
        </is>
      </c>
      <c r="E139" t="inlineStr">
        <is>
          <t>HABO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38771-2022</t>
        </is>
      </c>
      <c r="B140" s="1" t="n">
        <v>44816</v>
      </c>
      <c r="C140" s="1" t="n">
        <v>45813</v>
      </c>
      <c r="D140" t="inlineStr">
        <is>
          <t>JÖNKÖPINGS LÄN</t>
        </is>
      </c>
      <c r="E140" t="inlineStr">
        <is>
          <t>HABO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38779-2022</t>
        </is>
      </c>
      <c r="B141" s="1" t="n">
        <v>44816</v>
      </c>
      <c r="C141" s="1" t="n">
        <v>45813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40646-2022</t>
        </is>
      </c>
      <c r="B142" s="1" t="n">
        <v>44824</v>
      </c>
      <c r="C142" s="1" t="n">
        <v>45813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41910-2022</t>
        </is>
      </c>
      <c r="B143" s="1" t="n">
        <v>44830</v>
      </c>
      <c r="C143" s="1" t="n">
        <v>45813</v>
      </c>
      <c r="D143" t="inlineStr">
        <is>
          <t>JÖNKÖPINGS LÄN</t>
        </is>
      </c>
      <c r="E143" t="inlineStr">
        <is>
          <t>HABO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45601-2022</t>
        </is>
      </c>
      <c r="B144" s="1" t="n">
        <v>44845</v>
      </c>
      <c r="C144" s="1" t="n">
        <v>45813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45803-2022</t>
        </is>
      </c>
      <c r="B145" s="1" t="n">
        <v>44846</v>
      </c>
      <c r="C145" s="1" t="n">
        <v>45813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46078-2022</t>
        </is>
      </c>
      <c r="B146" s="1" t="n">
        <v>44847</v>
      </c>
      <c r="C146" s="1" t="n">
        <v>45813</v>
      </c>
      <c r="D146" t="inlineStr">
        <is>
          <t>JÖNKÖPINGS LÄN</t>
        </is>
      </c>
      <c r="E146" t="inlineStr">
        <is>
          <t>HABO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47440-2022</t>
        </is>
      </c>
      <c r="B147" s="1" t="n">
        <v>44853</v>
      </c>
      <c r="C147" s="1" t="n">
        <v>45813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48739-2022</t>
        </is>
      </c>
      <c r="B148" s="1" t="n">
        <v>44859</v>
      </c>
      <c r="C148" s="1" t="n">
        <v>45813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49471-2022</t>
        </is>
      </c>
      <c r="B149" s="1" t="n">
        <v>44861</v>
      </c>
      <c r="C149" s="1" t="n">
        <v>45813</v>
      </c>
      <c r="D149" t="inlineStr">
        <is>
          <t>JÖNKÖPINGS LÄN</t>
        </is>
      </c>
      <c r="E149" t="inlineStr">
        <is>
          <t>HABO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53264-2022</t>
        </is>
      </c>
      <c r="B150" s="1" t="n">
        <v>44876</v>
      </c>
      <c r="C150" s="1" t="n">
        <v>45813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53300-2022</t>
        </is>
      </c>
      <c r="B151" s="1" t="n">
        <v>44877</v>
      </c>
      <c r="C151" s="1" t="n">
        <v>45813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53301-2022</t>
        </is>
      </c>
      <c r="B152" s="1" t="n">
        <v>44877</v>
      </c>
      <c r="C152" s="1" t="n">
        <v>45813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56767-2022</t>
        </is>
      </c>
      <c r="B153" s="1" t="n">
        <v>44894</v>
      </c>
      <c r="C153" s="1" t="n">
        <v>45813</v>
      </c>
      <c r="D153" t="inlineStr">
        <is>
          <t>JÖNKÖPINGS LÄN</t>
        </is>
      </c>
      <c r="E153" t="inlineStr">
        <is>
          <t>HABO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57360-2022</t>
        </is>
      </c>
      <c r="B154" s="1" t="n">
        <v>44896</v>
      </c>
      <c r="C154" s="1" t="n">
        <v>45813</v>
      </c>
      <c r="D154" t="inlineStr">
        <is>
          <t>JÖNKÖPINGS LÄN</t>
        </is>
      </c>
      <c r="E154" t="inlineStr">
        <is>
          <t>HABO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57370-2022</t>
        </is>
      </c>
      <c r="B155" s="1" t="n">
        <v>44896</v>
      </c>
      <c r="C155" s="1" t="n">
        <v>45813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57368-2022</t>
        </is>
      </c>
      <c r="B156" s="1" t="n">
        <v>44896</v>
      </c>
      <c r="C156" s="1" t="n">
        <v>45813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58462-2022</t>
        </is>
      </c>
      <c r="B157" s="1" t="n">
        <v>44902</v>
      </c>
      <c r="C157" s="1" t="n">
        <v>45813</v>
      </c>
      <c r="D157" t="inlineStr">
        <is>
          <t>JÖNKÖPINGS LÄN</t>
        </is>
      </c>
      <c r="E157" t="inlineStr">
        <is>
          <t>HABO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59928-2022</t>
        </is>
      </c>
      <c r="B158" s="1" t="n">
        <v>44909</v>
      </c>
      <c r="C158" s="1" t="n">
        <v>45813</v>
      </c>
      <c r="D158" t="inlineStr">
        <is>
          <t>JÖNKÖPINGS LÄN</t>
        </is>
      </c>
      <c r="E158" t="inlineStr">
        <is>
          <t>HABO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60726-2022</t>
        </is>
      </c>
      <c r="B159" s="1" t="n">
        <v>44913</v>
      </c>
      <c r="C159" s="1" t="n">
        <v>45813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60953-2022</t>
        </is>
      </c>
      <c r="B160" s="1" t="n">
        <v>44914</v>
      </c>
      <c r="C160" s="1" t="n">
        <v>45813</v>
      </c>
      <c r="D160" t="inlineStr">
        <is>
          <t>JÖNKÖPINGS LÄN</t>
        </is>
      </c>
      <c r="E160" t="inlineStr">
        <is>
          <t>HABO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60950-2022</t>
        </is>
      </c>
      <c r="B161" s="1" t="n">
        <v>44914</v>
      </c>
      <c r="C161" s="1" t="n">
        <v>45813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60965-2022</t>
        </is>
      </c>
      <c r="B162" s="1" t="n">
        <v>44914</v>
      </c>
      <c r="C162" s="1" t="n">
        <v>45813</v>
      </c>
      <c r="D162" t="inlineStr">
        <is>
          <t>JÖNKÖPINGS LÄN</t>
        </is>
      </c>
      <c r="E162" t="inlineStr">
        <is>
          <t>HABO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60971-2022</t>
        </is>
      </c>
      <c r="B163" s="1" t="n">
        <v>44914</v>
      </c>
      <c r="C163" s="1" t="n">
        <v>45813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2073-2023</t>
        </is>
      </c>
      <c r="B164" s="1" t="n">
        <v>44939</v>
      </c>
      <c r="C164" s="1" t="n">
        <v>45813</v>
      </c>
      <c r="D164" t="inlineStr">
        <is>
          <t>JÖNKÖPINGS LÄN</t>
        </is>
      </c>
      <c r="E164" t="inlineStr">
        <is>
          <t>HABO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2780-2023</t>
        </is>
      </c>
      <c r="B165" s="1" t="n">
        <v>44944</v>
      </c>
      <c r="C165" s="1" t="n">
        <v>45813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3710-2023</t>
        </is>
      </c>
      <c r="B166" s="1" t="n">
        <v>44951</v>
      </c>
      <c r="C166" s="1" t="n">
        <v>45813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3716-2023</t>
        </is>
      </c>
      <c r="B167" s="1" t="n">
        <v>44951</v>
      </c>
      <c r="C167" s="1" t="n">
        <v>45813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10876-2023</t>
        </is>
      </c>
      <c r="B168" s="1" t="n">
        <v>44991</v>
      </c>
      <c r="C168" s="1" t="n">
        <v>45813</v>
      </c>
      <c r="D168" t="inlineStr">
        <is>
          <t>JÖNKÖPINGS LÄN</t>
        </is>
      </c>
      <c r="E168" t="inlineStr">
        <is>
          <t>HABO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11906-2023</t>
        </is>
      </c>
      <c r="B169" s="1" t="n">
        <v>44995</v>
      </c>
      <c r="C169" s="1" t="n">
        <v>45813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11907-2023</t>
        </is>
      </c>
      <c r="B170" s="1" t="n">
        <v>44995</v>
      </c>
      <c r="C170" s="1" t="n">
        <v>45813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11887-2023</t>
        </is>
      </c>
      <c r="B171" s="1" t="n">
        <v>44995</v>
      </c>
      <c r="C171" s="1" t="n">
        <v>45813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12688-2023</t>
        </is>
      </c>
      <c r="B172" s="1" t="n">
        <v>45000</v>
      </c>
      <c r="C172" s="1" t="n">
        <v>45813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12691-2023</t>
        </is>
      </c>
      <c r="B173" s="1" t="n">
        <v>45000</v>
      </c>
      <c r="C173" s="1" t="n">
        <v>45813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13880-2023</t>
        </is>
      </c>
      <c r="B174" s="1" t="n">
        <v>45007</v>
      </c>
      <c r="C174" s="1" t="n">
        <v>45813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15100-2023</t>
        </is>
      </c>
      <c r="B175" s="1" t="n">
        <v>45016</v>
      </c>
      <c r="C175" s="1" t="n">
        <v>45813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15518-2023</t>
        </is>
      </c>
      <c r="B176" s="1" t="n">
        <v>45020</v>
      </c>
      <c r="C176" s="1" t="n">
        <v>45813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15516-2023</t>
        </is>
      </c>
      <c r="B177" s="1" t="n">
        <v>45020</v>
      </c>
      <c r="C177" s="1" t="n">
        <v>45813</v>
      </c>
      <c r="D177" t="inlineStr">
        <is>
          <t>JÖNKÖPINGS LÄN</t>
        </is>
      </c>
      <c r="E177" t="inlineStr">
        <is>
          <t>HABO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15517-2023</t>
        </is>
      </c>
      <c r="B178" s="1" t="n">
        <v>45020</v>
      </c>
      <c r="C178" s="1" t="n">
        <v>45813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15520-2023</t>
        </is>
      </c>
      <c r="B179" s="1" t="n">
        <v>45020</v>
      </c>
      <c r="C179" s="1" t="n">
        <v>45813</v>
      </c>
      <c r="D179" t="inlineStr">
        <is>
          <t>JÖNKÖPINGS LÄN</t>
        </is>
      </c>
      <c r="E179" t="inlineStr">
        <is>
          <t>HABO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15802-2023</t>
        </is>
      </c>
      <c r="B180" s="1" t="n">
        <v>45021</v>
      </c>
      <c r="C180" s="1" t="n">
        <v>45813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16509-2023</t>
        </is>
      </c>
      <c r="B181" s="1" t="n">
        <v>45029</v>
      </c>
      <c r="C181" s="1" t="n">
        <v>45813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16726-2023</t>
        </is>
      </c>
      <c r="B182" s="1" t="n">
        <v>45030</v>
      </c>
      <c r="C182" s="1" t="n">
        <v>45813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16727-2023</t>
        </is>
      </c>
      <c r="B183" s="1" t="n">
        <v>45030</v>
      </c>
      <c r="C183" s="1" t="n">
        <v>45813</v>
      </c>
      <c r="D183" t="inlineStr">
        <is>
          <t>JÖNKÖPINGS LÄN</t>
        </is>
      </c>
      <c r="E183" t="inlineStr">
        <is>
          <t>HABO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18832-2023</t>
        </is>
      </c>
      <c r="B184" s="1" t="n">
        <v>45044</v>
      </c>
      <c r="C184" s="1" t="n">
        <v>45813</v>
      </c>
      <c r="D184" t="inlineStr">
        <is>
          <t>JÖNKÖPINGS LÄN</t>
        </is>
      </c>
      <c r="E184" t="inlineStr">
        <is>
          <t>HABO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26207-2023</t>
        </is>
      </c>
      <c r="B185" s="1" t="n">
        <v>45091</v>
      </c>
      <c r="C185" s="1" t="n">
        <v>45813</v>
      </c>
      <c r="D185" t="inlineStr">
        <is>
          <t>JÖNKÖPINGS LÄN</t>
        </is>
      </c>
      <c r="E185" t="inlineStr">
        <is>
          <t>HABO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26212-2023</t>
        </is>
      </c>
      <c r="B186" s="1" t="n">
        <v>45091</v>
      </c>
      <c r="C186" s="1" t="n">
        <v>45813</v>
      </c>
      <c r="D186" t="inlineStr">
        <is>
          <t>JÖNKÖPINGS LÄN</t>
        </is>
      </c>
      <c r="E186" t="inlineStr">
        <is>
          <t>HABO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26192-2023</t>
        </is>
      </c>
      <c r="B187" s="1" t="n">
        <v>45091</v>
      </c>
      <c r="C187" s="1" t="n">
        <v>45813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26202-2023</t>
        </is>
      </c>
      <c r="B188" s="1" t="n">
        <v>45091</v>
      </c>
      <c r="C188" s="1" t="n">
        <v>45813</v>
      </c>
      <c r="D188" t="inlineStr">
        <is>
          <t>JÖNKÖPINGS LÄN</t>
        </is>
      </c>
      <c r="E188" t="inlineStr">
        <is>
          <t>HABO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26197-2023</t>
        </is>
      </c>
      <c r="B189" s="1" t="n">
        <v>45091</v>
      </c>
      <c r="C189" s="1" t="n">
        <v>45813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26189-2023</t>
        </is>
      </c>
      <c r="B190" s="1" t="n">
        <v>45091</v>
      </c>
      <c r="C190" s="1" t="n">
        <v>45813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28131-2023</t>
        </is>
      </c>
      <c r="B191" s="1" t="n">
        <v>45099</v>
      </c>
      <c r="C191" s="1" t="n">
        <v>45813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28135-2023</t>
        </is>
      </c>
      <c r="B192" s="1" t="n">
        <v>45099</v>
      </c>
      <c r="C192" s="1" t="n">
        <v>45813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28140-2023</t>
        </is>
      </c>
      <c r="B193" s="1" t="n">
        <v>45099</v>
      </c>
      <c r="C193" s="1" t="n">
        <v>45813</v>
      </c>
      <c r="D193" t="inlineStr">
        <is>
          <t>JÖNKÖPINGS LÄN</t>
        </is>
      </c>
      <c r="E193" t="inlineStr">
        <is>
          <t>HABO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28947-2023</t>
        </is>
      </c>
      <c r="B194" s="1" t="n">
        <v>45104</v>
      </c>
      <c r="C194" s="1" t="n">
        <v>45813</v>
      </c>
      <c r="D194" t="inlineStr">
        <is>
          <t>JÖNKÖPINGS LÄN</t>
        </is>
      </c>
      <c r="E194" t="inlineStr">
        <is>
          <t>HABO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29408-2023</t>
        </is>
      </c>
      <c r="B195" s="1" t="n">
        <v>45106</v>
      </c>
      <c r="C195" s="1" t="n">
        <v>45813</v>
      </c>
      <c r="D195" t="inlineStr">
        <is>
          <t>JÖNKÖPINGS LÄN</t>
        </is>
      </c>
      <c r="E195" t="inlineStr">
        <is>
          <t>HABO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29733-2023</t>
        </is>
      </c>
      <c r="B196" s="1" t="n">
        <v>45107</v>
      </c>
      <c r="C196" s="1" t="n">
        <v>45813</v>
      </c>
      <c r="D196" t="inlineStr">
        <is>
          <t>JÖNKÖPINGS LÄN</t>
        </is>
      </c>
      <c r="E196" t="inlineStr">
        <is>
          <t>HABO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29730-2023</t>
        </is>
      </c>
      <c r="B197" s="1" t="n">
        <v>45107</v>
      </c>
      <c r="C197" s="1" t="n">
        <v>45813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30348-2023</t>
        </is>
      </c>
      <c r="B198" s="1" t="n">
        <v>45111</v>
      </c>
      <c r="C198" s="1" t="n">
        <v>45813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30352-2023</t>
        </is>
      </c>
      <c r="B199" s="1" t="n">
        <v>45111</v>
      </c>
      <c r="C199" s="1" t="n">
        <v>45813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30350-2023</t>
        </is>
      </c>
      <c r="B200" s="1" t="n">
        <v>45111</v>
      </c>
      <c r="C200" s="1" t="n">
        <v>45813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30340-2023</t>
        </is>
      </c>
      <c r="B201" s="1" t="n">
        <v>45111</v>
      </c>
      <c r="C201" s="1" t="n">
        <v>45813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30351-2023</t>
        </is>
      </c>
      <c r="B202" s="1" t="n">
        <v>45111</v>
      </c>
      <c r="C202" s="1" t="n">
        <v>45813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30355-2023</t>
        </is>
      </c>
      <c r="B203" s="1" t="n">
        <v>45111</v>
      </c>
      <c r="C203" s="1" t="n">
        <v>45813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30863-2023</t>
        </is>
      </c>
      <c r="B204" s="1" t="n">
        <v>45113</v>
      </c>
      <c r="C204" s="1" t="n">
        <v>45813</v>
      </c>
      <c r="D204" t="inlineStr">
        <is>
          <t>JÖNKÖPINGS LÄN</t>
        </is>
      </c>
      <c r="E204" t="inlineStr">
        <is>
          <t>HABO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32238-2023</t>
        </is>
      </c>
      <c r="B205" s="1" t="n">
        <v>45120</v>
      </c>
      <c r="C205" s="1" t="n">
        <v>45813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32242-2023</t>
        </is>
      </c>
      <c r="B206" s="1" t="n">
        <v>45119</v>
      </c>
      <c r="C206" s="1" t="n">
        <v>45813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32236-2023</t>
        </is>
      </c>
      <c r="B207" s="1" t="n">
        <v>45120</v>
      </c>
      <c r="C207" s="1" t="n">
        <v>45813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32240-2023</t>
        </is>
      </c>
      <c r="B208" s="1" t="n">
        <v>45120</v>
      </c>
      <c r="C208" s="1" t="n">
        <v>45813</v>
      </c>
      <c r="D208" t="inlineStr">
        <is>
          <t>JÖNKÖPINGS LÄN</t>
        </is>
      </c>
      <c r="E208" t="inlineStr">
        <is>
          <t>HABO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32244-2023</t>
        </is>
      </c>
      <c r="B209" s="1" t="n">
        <v>45119</v>
      </c>
      <c r="C209" s="1" t="n">
        <v>45813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32235-2023</t>
        </is>
      </c>
      <c r="B210" s="1" t="n">
        <v>45120</v>
      </c>
      <c r="C210" s="1" t="n">
        <v>45813</v>
      </c>
      <c r="D210" t="inlineStr">
        <is>
          <t>JÖNKÖPINGS LÄN</t>
        </is>
      </c>
      <c r="E210" t="inlineStr">
        <is>
          <t>HABO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32239-2023</t>
        </is>
      </c>
      <c r="B211" s="1" t="n">
        <v>45119</v>
      </c>
      <c r="C211" s="1" t="n">
        <v>45813</v>
      </c>
      <c r="D211" t="inlineStr">
        <is>
          <t>JÖNKÖPINGS LÄN</t>
        </is>
      </c>
      <c r="E211" t="inlineStr">
        <is>
          <t>HABO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32243-2023</t>
        </is>
      </c>
      <c r="B212" s="1" t="n">
        <v>45119</v>
      </c>
      <c r="C212" s="1" t="n">
        <v>45813</v>
      </c>
      <c r="D212" t="inlineStr">
        <is>
          <t>JÖNKÖPINGS LÄN</t>
        </is>
      </c>
      <c r="E212" t="inlineStr">
        <is>
          <t>HABO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32245-2023</t>
        </is>
      </c>
      <c r="B213" s="1" t="n">
        <v>45120</v>
      </c>
      <c r="C213" s="1" t="n">
        <v>45813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32249-2023</t>
        </is>
      </c>
      <c r="B214" s="1" t="n">
        <v>45120</v>
      </c>
      <c r="C214" s="1" t="n">
        <v>45813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32253-2023</t>
        </is>
      </c>
      <c r="B215" s="1" t="n">
        <v>45120</v>
      </c>
      <c r="C215" s="1" t="n">
        <v>45813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32248-2023</t>
        </is>
      </c>
      <c r="B216" s="1" t="n">
        <v>45120</v>
      </c>
      <c r="C216" s="1" t="n">
        <v>45813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32252-2023</t>
        </is>
      </c>
      <c r="B217" s="1" t="n">
        <v>45120</v>
      </c>
      <c r="C217" s="1" t="n">
        <v>45813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32246-2023</t>
        </is>
      </c>
      <c r="B218" s="1" t="n">
        <v>45120</v>
      </c>
      <c r="C218" s="1" t="n">
        <v>45813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32250-2023</t>
        </is>
      </c>
      <c r="B219" s="1" t="n">
        <v>45120</v>
      </c>
      <c r="C219" s="1" t="n">
        <v>45813</v>
      </c>
      <c r="D219" t="inlineStr">
        <is>
          <t>JÖNKÖPINGS LÄN</t>
        </is>
      </c>
      <c r="E219" t="inlineStr">
        <is>
          <t>HABO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32329-2023</t>
        </is>
      </c>
      <c r="B220" s="1" t="n">
        <v>45120</v>
      </c>
      <c r="C220" s="1" t="n">
        <v>45813</v>
      </c>
      <c r="D220" t="inlineStr">
        <is>
          <t>JÖNKÖPINGS LÄN</t>
        </is>
      </c>
      <c r="E220" t="inlineStr">
        <is>
          <t>HABO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32247-2023</t>
        </is>
      </c>
      <c r="B221" s="1" t="n">
        <v>45120</v>
      </c>
      <c r="C221" s="1" t="n">
        <v>45813</v>
      </c>
      <c r="D221" t="inlineStr">
        <is>
          <t>JÖNKÖPINGS LÄN</t>
        </is>
      </c>
      <c r="E221" t="inlineStr">
        <is>
          <t>HABO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32251-2023</t>
        </is>
      </c>
      <c r="B222" s="1" t="n">
        <v>45120</v>
      </c>
      <c r="C222" s="1" t="n">
        <v>45813</v>
      </c>
      <c r="D222" t="inlineStr">
        <is>
          <t>JÖNKÖPINGS LÄN</t>
        </is>
      </c>
      <c r="E222" t="inlineStr">
        <is>
          <t>HABO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32331-2023</t>
        </is>
      </c>
      <c r="B223" s="1" t="n">
        <v>45120</v>
      </c>
      <c r="C223" s="1" t="n">
        <v>45813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32539-2023</t>
        </is>
      </c>
      <c r="B224" s="1" t="n">
        <v>45121</v>
      </c>
      <c r="C224" s="1" t="n">
        <v>45813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34153-2023</t>
        </is>
      </c>
      <c r="B225" s="1" t="n">
        <v>45137</v>
      </c>
      <c r="C225" s="1" t="n">
        <v>45813</v>
      </c>
      <c r="D225" t="inlineStr">
        <is>
          <t>JÖNKÖPINGS LÄN</t>
        </is>
      </c>
      <c r="E225" t="inlineStr">
        <is>
          <t>HABO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34768-2023</t>
        </is>
      </c>
      <c r="B226" s="1" t="n">
        <v>45141</v>
      </c>
      <c r="C226" s="1" t="n">
        <v>45813</v>
      </c>
      <c r="D226" t="inlineStr">
        <is>
          <t>JÖNKÖPINGS LÄN</t>
        </is>
      </c>
      <c r="E226" t="inlineStr">
        <is>
          <t>HABO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35369-2023</t>
        </is>
      </c>
      <c r="B227" s="1" t="n">
        <v>45146</v>
      </c>
      <c r="C227" s="1" t="n">
        <v>45813</v>
      </c>
      <c r="D227" t="inlineStr">
        <is>
          <t>JÖNKÖPINGS LÄN</t>
        </is>
      </c>
      <c r="E227" t="inlineStr">
        <is>
          <t>HABO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36036-2023</t>
        </is>
      </c>
      <c r="B228" s="1" t="n">
        <v>45149</v>
      </c>
      <c r="C228" s="1" t="n">
        <v>45813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36483-2023</t>
        </is>
      </c>
      <c r="B229" s="1" t="n">
        <v>45152</v>
      </c>
      <c r="C229" s="1" t="n">
        <v>45813</v>
      </c>
      <c r="D229" t="inlineStr">
        <is>
          <t>JÖNKÖPINGS LÄN</t>
        </is>
      </c>
      <c r="E229" t="inlineStr">
        <is>
          <t>HABO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36482-2023</t>
        </is>
      </c>
      <c r="B230" s="1" t="n">
        <v>45152</v>
      </c>
      <c r="C230" s="1" t="n">
        <v>45813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36480-2023</t>
        </is>
      </c>
      <c r="B231" s="1" t="n">
        <v>45152</v>
      </c>
      <c r="C231" s="1" t="n">
        <v>45813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36481-2023</t>
        </is>
      </c>
      <c r="B232" s="1" t="n">
        <v>45152</v>
      </c>
      <c r="C232" s="1" t="n">
        <v>45813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36533-2023</t>
        </is>
      </c>
      <c r="B233" s="1" t="n">
        <v>45153</v>
      </c>
      <c r="C233" s="1" t="n">
        <v>45813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36592-2023</t>
        </is>
      </c>
      <c r="B234" s="1" t="n">
        <v>45153</v>
      </c>
      <c r="C234" s="1" t="n">
        <v>45813</v>
      </c>
      <c r="D234" t="inlineStr">
        <is>
          <t>JÖNKÖPINGS LÄN</t>
        </is>
      </c>
      <c r="E234" t="inlineStr">
        <is>
          <t>HABO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38295-2023</t>
        </is>
      </c>
      <c r="B235" s="1" t="n">
        <v>45161</v>
      </c>
      <c r="C235" s="1" t="n">
        <v>45813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39703-2023</t>
        </is>
      </c>
      <c r="B236" s="1" t="n">
        <v>45167</v>
      </c>
      <c r="C236" s="1" t="n">
        <v>45813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39841-2023</t>
        </is>
      </c>
      <c r="B237" s="1" t="n">
        <v>45168</v>
      </c>
      <c r="C237" s="1" t="n">
        <v>45813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40883-2023</t>
        </is>
      </c>
      <c r="B238" s="1" t="n">
        <v>45173</v>
      </c>
      <c r="C238" s="1" t="n">
        <v>45813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40914-2023</t>
        </is>
      </c>
      <c r="B239" s="1" t="n">
        <v>45173</v>
      </c>
      <c r="C239" s="1" t="n">
        <v>45813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43160-2023</t>
        </is>
      </c>
      <c r="B240" s="1" t="n">
        <v>45183</v>
      </c>
      <c r="C240" s="1" t="n">
        <v>45813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44158-2023</t>
        </is>
      </c>
      <c r="B241" s="1" t="n">
        <v>45188</v>
      </c>
      <c r="C241" s="1" t="n">
        <v>45813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46889-2023</t>
        </is>
      </c>
      <c r="B242" s="1" t="n">
        <v>45201</v>
      </c>
      <c r="C242" s="1" t="n">
        <v>45813</v>
      </c>
      <c r="D242" t="inlineStr">
        <is>
          <t>JÖNKÖPINGS LÄN</t>
        </is>
      </c>
      <c r="E242" t="inlineStr">
        <is>
          <t>HABO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47532-2023</t>
        </is>
      </c>
      <c r="B243" s="1" t="n">
        <v>45203</v>
      </c>
      <c r="C243" s="1" t="n">
        <v>45813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47836-2023</t>
        </is>
      </c>
      <c r="B244" s="1" t="n">
        <v>45204</v>
      </c>
      <c r="C244" s="1" t="n">
        <v>45813</v>
      </c>
      <c r="D244" t="inlineStr">
        <is>
          <t>JÖNKÖPINGS LÄN</t>
        </is>
      </c>
      <c r="E244" t="inlineStr">
        <is>
          <t>HABO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49152-2023</t>
        </is>
      </c>
      <c r="B245" s="1" t="n">
        <v>45210</v>
      </c>
      <c r="C245" s="1" t="n">
        <v>45813</v>
      </c>
      <c r="D245" t="inlineStr">
        <is>
          <t>JÖNKÖPINGS LÄN</t>
        </is>
      </c>
      <c r="E245" t="inlineStr">
        <is>
          <t>HABO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49168-2023</t>
        </is>
      </c>
      <c r="B246" s="1" t="n">
        <v>45210</v>
      </c>
      <c r="C246" s="1" t="n">
        <v>45813</v>
      </c>
      <c r="D246" t="inlineStr">
        <is>
          <t>JÖNKÖPINGS LÄN</t>
        </is>
      </c>
      <c r="E246" t="inlineStr">
        <is>
          <t>HABO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49673-2023</t>
        </is>
      </c>
      <c r="B247" s="1" t="n">
        <v>45212</v>
      </c>
      <c r="C247" s="1" t="n">
        <v>45813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50712-2023</t>
        </is>
      </c>
      <c r="B248" s="1" t="n">
        <v>45217</v>
      </c>
      <c r="C248" s="1" t="n">
        <v>45813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50710-2023</t>
        </is>
      </c>
      <c r="B249" s="1" t="n">
        <v>45217</v>
      </c>
      <c r="C249" s="1" t="n">
        <v>45813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51027-2023</t>
        </is>
      </c>
      <c r="B250" s="1" t="n">
        <v>45218</v>
      </c>
      <c r="C250" s="1" t="n">
        <v>45813</v>
      </c>
      <c r="D250" t="inlineStr">
        <is>
          <t>JÖNKÖPINGS LÄN</t>
        </is>
      </c>
      <c r="E250" t="inlineStr">
        <is>
          <t>HABO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</v>
      </c>
      <c r="C251" s="1" t="n">
        <v>45813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51588-2023</t>
        </is>
      </c>
      <c r="B252" s="1" t="n">
        <v>45222</v>
      </c>
      <c r="C252" s="1" t="n">
        <v>45813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51592-2023</t>
        </is>
      </c>
      <c r="B253" s="1" t="n">
        <v>45222</v>
      </c>
      <c r="C253" s="1" t="n">
        <v>45813</v>
      </c>
      <c r="D253" t="inlineStr">
        <is>
          <t>JÖNKÖPINGS LÄN</t>
        </is>
      </c>
      <c r="E253" t="inlineStr">
        <is>
          <t>HABO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54693-2023</t>
        </is>
      </c>
      <c r="B254" s="1" t="n">
        <v>45236</v>
      </c>
      <c r="C254" s="1" t="n">
        <v>45813</v>
      </c>
      <c r="D254" t="inlineStr">
        <is>
          <t>JÖNKÖPINGS LÄN</t>
        </is>
      </c>
      <c r="E254" t="inlineStr">
        <is>
          <t>HABO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56288-2023</t>
        </is>
      </c>
      <c r="B255" s="1" t="n">
        <v>45242</v>
      </c>
      <c r="C255" s="1" t="n">
        <v>45813</v>
      </c>
      <c r="D255" t="inlineStr">
        <is>
          <t>JÖNKÖPINGS LÄN</t>
        </is>
      </c>
      <c r="E255" t="inlineStr">
        <is>
          <t>HABO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56289-2023</t>
        </is>
      </c>
      <c r="B256" s="1" t="n">
        <v>45242</v>
      </c>
      <c r="C256" s="1" t="n">
        <v>45813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56333-2023</t>
        </is>
      </c>
      <c r="B257" s="1" t="n">
        <v>45243</v>
      </c>
      <c r="C257" s="1" t="n">
        <v>45813</v>
      </c>
      <c r="D257" t="inlineStr">
        <is>
          <t>JÖNKÖPINGS LÄN</t>
        </is>
      </c>
      <c r="E257" t="inlineStr">
        <is>
          <t>HABO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57422-2023</t>
        </is>
      </c>
      <c r="B258" s="1" t="n">
        <v>45246</v>
      </c>
      <c r="C258" s="1" t="n">
        <v>45813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57755-2023</t>
        </is>
      </c>
      <c r="B259" s="1" t="n">
        <v>45246</v>
      </c>
      <c r="C259" s="1" t="n">
        <v>45813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60227-2023</t>
        </is>
      </c>
      <c r="B260" s="1" t="n">
        <v>45258</v>
      </c>
      <c r="C260" s="1" t="n">
        <v>45813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45813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45813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62745-2023</t>
        </is>
      </c>
      <c r="B263" s="1" t="n">
        <v>45271</v>
      </c>
      <c r="C263" s="1" t="n">
        <v>45813</v>
      </c>
      <c r="D263" t="inlineStr">
        <is>
          <t>JÖNKÖPINGS LÄN</t>
        </is>
      </c>
      <c r="E263" t="inlineStr">
        <is>
          <t>HABO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45813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63599-2023</t>
        </is>
      </c>
      <c r="B265" s="1" t="n">
        <v>45275</v>
      </c>
      <c r="C265" s="1" t="n">
        <v>45813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63922-2023</t>
        </is>
      </c>
      <c r="B266" s="1" t="n">
        <v>45278</v>
      </c>
      <c r="C266" s="1" t="n">
        <v>45813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65067-2023</t>
        </is>
      </c>
      <c r="B267" s="1" t="n">
        <v>45287</v>
      </c>
      <c r="C267" s="1" t="n">
        <v>45813</v>
      </c>
      <c r="D267" t="inlineStr">
        <is>
          <t>JÖNKÖPINGS LÄN</t>
        </is>
      </c>
      <c r="E267" t="inlineStr">
        <is>
          <t>HABO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476-2024</t>
        </is>
      </c>
      <c r="B268" s="1" t="n">
        <v>45297</v>
      </c>
      <c r="C268" s="1" t="n">
        <v>45813</v>
      </c>
      <c r="D268" t="inlineStr">
        <is>
          <t>JÖNKÖPINGS LÄN</t>
        </is>
      </c>
      <c r="E268" t="inlineStr">
        <is>
          <t>HABO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778-2024</t>
        </is>
      </c>
      <c r="B269" s="1" t="n">
        <v>45300</v>
      </c>
      <c r="C269" s="1" t="n">
        <v>45813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45813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1542-2024</t>
        </is>
      </c>
      <c r="B271" s="1" t="n">
        <v>45306</v>
      </c>
      <c r="C271" s="1" t="n">
        <v>45813</v>
      </c>
      <c r="D271" t="inlineStr">
        <is>
          <t>JÖNKÖPINGS LÄN</t>
        </is>
      </c>
      <c r="E271" t="inlineStr">
        <is>
          <t>HABO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45813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2374-2024</t>
        </is>
      </c>
      <c r="B273" s="1" t="n">
        <v>45310</v>
      </c>
      <c r="C273" s="1" t="n">
        <v>45813</v>
      </c>
      <c r="D273" t="inlineStr">
        <is>
          <t>JÖNKÖPINGS LÄN</t>
        </is>
      </c>
      <c r="E273" t="inlineStr">
        <is>
          <t>HABO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</v>
      </c>
      <c r="C274" s="1" t="n">
        <v>45813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3913-2024</t>
        </is>
      </c>
      <c r="B275" s="1" t="n">
        <v>45322</v>
      </c>
      <c r="C275" s="1" t="n">
        <v>45813</v>
      </c>
      <c r="D275" t="inlineStr">
        <is>
          <t>JÖNKÖPINGS LÄN</t>
        </is>
      </c>
      <c r="E275" t="inlineStr">
        <is>
          <t>HABO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3969-2024</t>
        </is>
      </c>
      <c r="B276" s="1" t="n">
        <v>45322</v>
      </c>
      <c r="C276" s="1" t="n">
        <v>45813</v>
      </c>
      <c r="D276" t="inlineStr">
        <is>
          <t>JÖNKÖPINGS LÄN</t>
        </is>
      </c>
      <c r="E276" t="inlineStr">
        <is>
          <t>HABO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45813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4837-2024</t>
        </is>
      </c>
      <c r="B278" s="1" t="n">
        <v>45329</v>
      </c>
      <c r="C278" s="1" t="n">
        <v>45813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8849-2024</t>
        </is>
      </c>
      <c r="B279" s="1" t="n">
        <v>45356</v>
      </c>
      <c r="C279" s="1" t="n">
        <v>45813</v>
      </c>
      <c r="D279" t="inlineStr">
        <is>
          <t>JÖNKÖPINGS LÄN</t>
        </is>
      </c>
      <c r="E279" t="inlineStr">
        <is>
          <t>HABO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9931-2024</t>
        </is>
      </c>
      <c r="B280" s="1" t="n">
        <v>45363</v>
      </c>
      <c r="C280" s="1" t="n">
        <v>45813</v>
      </c>
      <c r="D280" t="inlineStr">
        <is>
          <t>JÖNKÖPINGS LÄN</t>
        </is>
      </c>
      <c r="E280" t="inlineStr">
        <is>
          <t>HABO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10167-2024</t>
        </is>
      </c>
      <c r="B281" s="1" t="n">
        <v>45364</v>
      </c>
      <c r="C281" s="1" t="n">
        <v>45813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11426-2024</t>
        </is>
      </c>
      <c r="B282" s="1" t="n">
        <v>45372</v>
      </c>
      <c r="C282" s="1" t="n">
        <v>45813</v>
      </c>
      <c r="D282" t="inlineStr">
        <is>
          <t>JÖNKÖPINGS LÄN</t>
        </is>
      </c>
      <c r="E282" t="inlineStr">
        <is>
          <t>HABO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13850-2024</t>
        </is>
      </c>
      <c r="B283" s="1" t="n">
        <v>45390</v>
      </c>
      <c r="C283" s="1" t="n">
        <v>45813</v>
      </c>
      <c r="D283" t="inlineStr">
        <is>
          <t>JÖNKÖPINGS LÄN</t>
        </is>
      </c>
      <c r="E283" t="inlineStr">
        <is>
          <t>HABO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14724-2024</t>
        </is>
      </c>
      <c r="B284" s="1" t="n">
        <v>45397</v>
      </c>
      <c r="C284" s="1" t="n">
        <v>45813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15238-2024</t>
        </is>
      </c>
      <c r="B285" s="1" t="n">
        <v>45400</v>
      </c>
      <c r="C285" s="1" t="n">
        <v>45813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15234-2024</t>
        </is>
      </c>
      <c r="B286" s="1" t="n">
        <v>45400</v>
      </c>
      <c r="C286" s="1" t="n">
        <v>45813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15251-2024</t>
        </is>
      </c>
      <c r="B287" s="1" t="n">
        <v>45400</v>
      </c>
      <c r="C287" s="1" t="n">
        <v>45813</v>
      </c>
      <c r="D287" t="inlineStr">
        <is>
          <t>JÖNKÖPINGS LÄN</t>
        </is>
      </c>
      <c r="E287" t="inlineStr">
        <is>
          <t>HABO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15252-2024</t>
        </is>
      </c>
      <c r="B288" s="1" t="n">
        <v>45400</v>
      </c>
      <c r="C288" s="1" t="n">
        <v>45813</v>
      </c>
      <c r="D288" t="inlineStr">
        <is>
          <t>JÖNKÖPINGS LÄN</t>
        </is>
      </c>
      <c r="E288" t="inlineStr">
        <is>
          <t>HABO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15272-2024</t>
        </is>
      </c>
      <c r="B289" s="1" t="n">
        <v>45400</v>
      </c>
      <c r="C289" s="1" t="n">
        <v>45813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15901-2024</t>
        </is>
      </c>
      <c r="B290" s="1" t="n">
        <v>45405</v>
      </c>
      <c r="C290" s="1" t="n">
        <v>45813</v>
      </c>
      <c r="D290" t="inlineStr">
        <is>
          <t>JÖNKÖPINGS LÄN</t>
        </is>
      </c>
      <c r="E290" t="inlineStr">
        <is>
          <t>HABO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16108-2024</t>
        </is>
      </c>
      <c r="B291" s="1" t="n">
        <v>45406</v>
      </c>
      <c r="C291" s="1" t="n">
        <v>45813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17845-2024</t>
        </is>
      </c>
      <c r="B292" s="1" t="n">
        <v>45419</v>
      </c>
      <c r="C292" s="1" t="n">
        <v>45813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19366-2024</t>
        </is>
      </c>
      <c r="B293" s="1" t="n">
        <v>45429</v>
      </c>
      <c r="C293" s="1" t="n">
        <v>45813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19370-2024</t>
        </is>
      </c>
      <c r="B294" s="1" t="n">
        <v>45429</v>
      </c>
      <c r="C294" s="1" t="n">
        <v>45813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21301-2024</t>
        </is>
      </c>
      <c r="B295" s="1" t="n">
        <v>45440</v>
      </c>
      <c r="C295" s="1" t="n">
        <v>45813</v>
      </c>
      <c r="D295" t="inlineStr">
        <is>
          <t>JÖNKÖPINGS LÄN</t>
        </is>
      </c>
      <c r="E295" t="inlineStr">
        <is>
          <t>HABO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23145-2024</t>
        </is>
      </c>
      <c r="B296" s="1" t="n">
        <v>45450</v>
      </c>
      <c r="C296" s="1" t="n">
        <v>45813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23153-2024</t>
        </is>
      </c>
      <c r="B297" s="1" t="n">
        <v>45450</v>
      </c>
      <c r="C297" s="1" t="n">
        <v>45813</v>
      </c>
      <c r="D297" t="inlineStr">
        <is>
          <t>JÖNKÖPINGS LÄN</t>
        </is>
      </c>
      <c r="E297" t="inlineStr">
        <is>
          <t>HABO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23148-2024</t>
        </is>
      </c>
      <c r="B298" s="1" t="n">
        <v>45450</v>
      </c>
      <c r="C298" s="1" t="n">
        <v>45813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23152-2024</t>
        </is>
      </c>
      <c r="B299" s="1" t="n">
        <v>45450</v>
      </c>
      <c r="C299" s="1" t="n">
        <v>45813</v>
      </c>
      <c r="D299" t="inlineStr">
        <is>
          <t>JÖNKÖPINGS LÄN</t>
        </is>
      </c>
      <c r="E299" t="inlineStr">
        <is>
          <t>HABO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23156-2024</t>
        </is>
      </c>
      <c r="B300" s="1" t="n">
        <v>45450</v>
      </c>
      <c r="C300" s="1" t="n">
        <v>45813</v>
      </c>
      <c r="D300" t="inlineStr">
        <is>
          <t>JÖNKÖPINGS LÄN</t>
        </is>
      </c>
      <c r="E300" t="inlineStr">
        <is>
          <t>HABO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23143-2024</t>
        </is>
      </c>
      <c r="B301" s="1" t="n">
        <v>45450</v>
      </c>
      <c r="C301" s="1" t="n">
        <v>45813</v>
      </c>
      <c r="D301" t="inlineStr">
        <is>
          <t>JÖNKÖPINGS LÄN</t>
        </is>
      </c>
      <c r="E301" t="inlineStr">
        <is>
          <t>HABO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45813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45813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45813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45813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45813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45813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45813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45813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45813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45813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45813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45813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45813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45813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45813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45813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45813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45813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45813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45813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45813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45813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45813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45813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45813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45813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45813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45813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45813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45813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45813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45813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45813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45813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45813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45813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45813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45813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45813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45813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45813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45813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45813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45813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45813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45813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45813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45813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45813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45813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45813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45813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45813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45813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45813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45813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45813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45813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45813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45813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45813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45813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45813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45813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45813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45813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45813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45813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45813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45813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45813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45813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45813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45813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45813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45813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45813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45813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45813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45813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45813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45813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45813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45813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45813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45813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45813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45813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45813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45813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45813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45813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45813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45813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45813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45813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45813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45813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45813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45813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45813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45813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45813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45813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45813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45813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45813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45813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45813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45813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45813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45813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45813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45813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45813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45813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45813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45813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45813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45813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45813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45813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45813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45813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45813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45813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45813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45813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45813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45813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45813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45813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45813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45813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45813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45813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26519-2025</t>
        </is>
      </c>
      <c r="B438" s="1" t="n">
        <v>45807</v>
      </c>
      <c r="C438" s="1" t="n">
        <v>45813</v>
      </c>
      <c r="D438" t="inlineStr">
        <is>
          <t>JÖNKÖPINGS LÄN</t>
        </is>
      </c>
      <c r="E438" t="inlineStr">
        <is>
          <t>HABO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26520-2025</t>
        </is>
      </c>
      <c r="B439" s="1" t="n">
        <v>45807</v>
      </c>
      <c r="C439" s="1" t="n">
        <v>45813</v>
      </c>
      <c r="D439" t="inlineStr">
        <is>
          <t>JÖNKÖPINGS LÄN</t>
        </is>
      </c>
      <c r="E439" t="inlineStr">
        <is>
          <t>HABO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45813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45813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45813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45813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45813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27327-2025</t>
        </is>
      </c>
      <c r="B445" s="1" t="n">
        <v>45812</v>
      </c>
      <c r="C445" s="1" t="n">
        <v>45813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2025-06-05T18:24:43Z</dcterms:created>
  <dcterms:modified xmlns:dcterms="http://purl.org/dc/terms/" xmlns:xsi="http://www.w3.org/2001/XMLSchema-instance" xsi:type="dcterms:W3CDTF">2025-06-05T18:24:43Z</dcterms:modified>
</cp:coreProperties>
</file>