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45749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45749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45749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45749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45749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45749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45749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45749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45749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45749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45749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45749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45749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45749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45749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45749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45749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45749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45749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45749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45749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45749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45749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45749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45749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45749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14704-2025</t>
        </is>
      </c>
      <c r="B29" s="1" t="n">
        <v>45742</v>
      </c>
      <c r="C29" s="1" t="n">
        <v>45749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HYPERLINK("https://klasma.github.io/Logging_060643/artfynd/A 14704-2025 artfynd.xlsx", "A 14704-2025")</f>
        <v/>
      </c>
      <c r="T29">
        <f>HYPERLINK("https://klasma.github.io/Logging_060643/kartor/A 14704-2025 karta.png", "A 14704-2025")</f>
        <v/>
      </c>
      <c r="V29">
        <f>HYPERLINK("https://klasma.github.io/Logging_060643/klagomål/A 14704-2025 FSC-klagomål.docx", "A 14704-2025")</f>
        <v/>
      </c>
      <c r="W29">
        <f>HYPERLINK("https://klasma.github.io/Logging_060643/klagomålsmail/A 14704-2025 FSC-klagomål mail.docx", "A 14704-2025")</f>
        <v/>
      </c>
      <c r="X29">
        <f>HYPERLINK("https://klasma.github.io/Logging_060643/tillsyn/A 14704-2025 tillsynsbegäran.docx", "A 14704-2025")</f>
        <v/>
      </c>
      <c r="Y29">
        <f>HYPERLINK("https://klasma.github.io/Logging_060643/tillsynsmail/A 14704-2025 tillsynsbegäran mail.docx", "A 14704-2025")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45749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HYPERLINK("https://klasma.github.io/Logging_060643/artfynd/A 14713-2025 artfynd.xlsx", "A 14713-2025")</f>
        <v/>
      </c>
      <c r="T30">
        <f>HYPERLINK("https://klasma.github.io/Logging_060643/kartor/A 14713-2025 karta.png", "A 14713-2025")</f>
        <v/>
      </c>
      <c r="V30">
        <f>HYPERLINK("https://klasma.github.io/Logging_060643/klagomål/A 14713-2025 FSC-klagomål.docx", "A 14713-2025")</f>
        <v/>
      </c>
      <c r="W30">
        <f>HYPERLINK("https://klasma.github.io/Logging_060643/klagomålsmail/A 14713-2025 FSC-klagomål mail.docx", "A 14713-2025")</f>
        <v/>
      </c>
      <c r="X30">
        <f>HYPERLINK("https://klasma.github.io/Logging_060643/tillsyn/A 14713-2025 tillsynsbegäran.docx", "A 14713-2025")</f>
        <v/>
      </c>
      <c r="Y30">
        <f>HYPERLINK("https://klasma.github.io/Logging_060643/tillsynsmail/A 14713-2025 tillsynsbegäran mail.docx", "A 14713-2025")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45749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45749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45749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45749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45749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45749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45749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45749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45749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45749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45749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45749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45749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45749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45749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45749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45749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45749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45749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45749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45749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45749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45749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45749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45749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45749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45749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45749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45749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45749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45749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45749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45749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45749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45749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45749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45749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45749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45749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45749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45749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45749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45749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45749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45749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45749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45749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45749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45749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45749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45749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45749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45749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45749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45749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45749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45749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45749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45749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45749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45749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45749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45749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45749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45749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45749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45749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45749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45749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45749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45749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45749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45749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45749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45749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45749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45749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45749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45749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45749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45749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45749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45749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45749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45749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45749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45749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45749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45749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45749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45749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45749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45749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45749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45749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45749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45749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45749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45749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45749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45749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45749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45749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45749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45749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45749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45749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45749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45749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45749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45749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45749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45749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45749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45749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45749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45749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45749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45749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45749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45749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45749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45749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45749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45749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45749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45749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45749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45749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45749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45749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45749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45749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45749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45749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45749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45749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45749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45749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45749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45749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45749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45749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45749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45749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45749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45749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45749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45749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45749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45749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45749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45749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45749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45749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45749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45749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45749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45749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45749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45749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45749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45749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45749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45749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45749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45749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45749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45749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45749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45749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45749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45749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45749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45749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45749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45749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45749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45749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45749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45749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45749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45749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45749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45749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45749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45749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45749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45749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45749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45749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45749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45749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45749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45749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45749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45749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45749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45749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45749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45749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45749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45749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45749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45749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45749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45749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45749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45749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45749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45749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45749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45749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45749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45749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45749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45749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45749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45749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45749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45749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45749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45749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45749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45749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45749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45749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45749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45749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45749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45749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45749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45749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45749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45749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45749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45749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45749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45749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45749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45749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45749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45749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45749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45749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45749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45749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45749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45749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45749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45749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45749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45749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45749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45749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45749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45749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45749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45749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45749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45749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45749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45749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45749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45749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45749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45749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45749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45749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45749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45749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45749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45749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45749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45749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45749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45749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45749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45749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45749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45749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45749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45749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45749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45749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45749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45749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45749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45749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45749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45749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45749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45749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45749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45749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45749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45749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45749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45749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45749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45749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45749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45749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45749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45749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45749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45749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45749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45749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45749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45749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45749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45749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45749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45749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45749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45749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45749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45749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45749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45749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45749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45749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45749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45749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45749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45749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45749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45749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45749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45749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45749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45749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45749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45749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45749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45749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45749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45749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45749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45749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45749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45749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45749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45749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45749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45749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45749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45749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45749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45749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45749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45749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45749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45749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45749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45749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45749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45749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45749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45749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45749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45749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45749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45749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45749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45749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45749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45749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45749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45749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45749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45749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45749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45749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45749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45749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45749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45749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45749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45749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45749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45749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45749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45749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45749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45749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45749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15586-2025</t>
        </is>
      </c>
      <c r="B419" s="1" t="n">
        <v>45747</v>
      </c>
      <c r="C419" s="1" t="n">
        <v>45749</v>
      </c>
      <c r="D419" t="inlineStr">
        <is>
          <t>JÖNKÖPINGS LÄN</t>
        </is>
      </c>
      <c r="E419" t="inlineStr">
        <is>
          <t>HABO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15587-2025</t>
        </is>
      </c>
      <c r="B420" s="1" t="n">
        <v>45747</v>
      </c>
      <c r="C420" s="1" t="n">
        <v>45749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2025-04-02T17:00:11Z</dcterms:created>
  <dcterms:modified xmlns:dcterms="http://purl.org/dc/terms/" xmlns:xsi="http://www.w3.org/2001/XMLSchema-instance" xsi:type="dcterms:W3CDTF">2025-04-02T17:00:11Z</dcterms:modified>
</cp:coreProperties>
</file>