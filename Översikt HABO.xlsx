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45566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45566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45566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45566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45566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45566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45566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45566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45566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45566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45566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45566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45566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45566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45566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53298-2022</t>
        </is>
      </c>
      <c r="B17" s="1" t="n">
        <v>44877</v>
      </c>
      <c r="C17" s="1" t="n">
        <v>45566</v>
      </c>
      <c r="D17" t="inlineStr">
        <is>
          <t>JÖNKÖPINGS LÄN</t>
        </is>
      </c>
      <c r="E17" t="inlineStr">
        <is>
          <t>HABO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HYPERLINK("https://klasma.github.io/Logging_0643/artfynd/A 53298-2022 artfynd.xlsx", "A 53298-2022")</f>
        <v/>
      </c>
      <c r="T17">
        <f>HYPERLINK("https://klasma.github.io/Logging_0643/kartor/A 53298-2022 karta.png", "A 53298-2022")</f>
        <v/>
      </c>
      <c r="V17">
        <f>HYPERLINK("https://klasma.github.io/Logging_0643/klagomål/A 53298-2022 FSC-klagomål.docx", "A 53298-2022")</f>
        <v/>
      </c>
      <c r="W17">
        <f>HYPERLINK("https://klasma.github.io/Logging_0643/klagomålsmail/A 53298-2022 FSC-klagomål mail.docx", "A 53298-2022")</f>
        <v/>
      </c>
      <c r="X17">
        <f>HYPERLINK("https://klasma.github.io/Logging_0643/tillsyn/A 53298-2022 tillsynsbegäran.docx", "A 53298-2022")</f>
        <v/>
      </c>
      <c r="Y17">
        <f>HYPERLINK("https://klasma.github.io/Logging_0643/tillsynsmail/A 53298-2022 tillsynsbegäran mail.docx", "A 53298-2022")</f>
        <v/>
      </c>
    </row>
    <row r="18" ht="15" customHeight="1">
      <c r="A18" t="inlineStr">
        <is>
          <t>A 52417-2023</t>
        </is>
      </c>
      <c r="B18" s="1" t="n">
        <v>45225</v>
      </c>
      <c r="C18" s="1" t="n">
        <v>45566</v>
      </c>
      <c r="D18" t="inlineStr">
        <is>
          <t>JÖNKÖPINGS LÄN</t>
        </is>
      </c>
      <c r="E18" t="inlineStr">
        <is>
          <t>HABO</t>
        </is>
      </c>
      <c r="G18" t="n">
        <v>9.800000000000001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HYPERLINK("https://klasma.github.io/Logging_0643/artfynd/A 52417-2023 artfynd.xlsx", "A 52417-2023")</f>
        <v/>
      </c>
      <c r="T18">
        <f>HYPERLINK("https://klasma.github.io/Logging_0643/kartor/A 52417-2023 karta.png", "A 52417-2023")</f>
        <v/>
      </c>
      <c r="V18">
        <f>HYPERLINK("https://klasma.github.io/Logging_0643/klagomål/A 52417-2023 FSC-klagomål.docx", "A 52417-2023")</f>
        <v/>
      </c>
      <c r="W18">
        <f>HYPERLINK("https://klasma.github.io/Logging_0643/klagomålsmail/A 52417-2023 FSC-klagomål mail.docx", "A 52417-2023")</f>
        <v/>
      </c>
      <c r="X18">
        <f>HYPERLINK("https://klasma.github.io/Logging_0643/tillsyn/A 52417-2023 tillsynsbegäran.docx", "A 52417-2023")</f>
        <v/>
      </c>
      <c r="Y18">
        <f>HYPERLINK("https://klasma.github.io/Logging_0643/tillsynsmail/A 52417-2023 tillsynsbegäran mail.docx", "A 52417-2023")</f>
        <v/>
      </c>
    </row>
    <row r="19" ht="15" customHeight="1">
      <c r="A19" t="inlineStr">
        <is>
          <t>A 36227-2024</t>
        </is>
      </c>
      <c r="B19" s="1" t="n">
        <v>45534</v>
      </c>
      <c r="C19" s="1" t="n">
        <v>45566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6.7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HYPERLINK("https://klasma.github.io/Logging_0643/artfynd/A 36227-2024 artfynd.xlsx", "A 36227-2024")</f>
        <v/>
      </c>
      <c r="T19">
        <f>HYPERLINK("https://klasma.github.io/Logging_0643/kartor/A 36227-2024 karta.png", "A 36227-2024")</f>
        <v/>
      </c>
      <c r="V19">
        <f>HYPERLINK("https://klasma.github.io/Logging_0643/klagomål/A 36227-2024 FSC-klagomål.docx", "A 36227-2024")</f>
        <v/>
      </c>
      <c r="W19">
        <f>HYPERLINK("https://klasma.github.io/Logging_0643/klagomålsmail/A 36227-2024 FSC-klagomål mail.docx", "A 36227-2024")</f>
        <v/>
      </c>
      <c r="X19">
        <f>HYPERLINK("https://klasma.github.io/Logging_0643/tillsyn/A 36227-2024 tillsynsbegäran.docx", "A 36227-2024")</f>
        <v/>
      </c>
      <c r="Y19">
        <f>HYPERLINK("https://klasma.github.io/Logging_0643/tillsynsmail/A 36227-2024 tillsynsbegäran mail.docx", "A 36227-2024")</f>
        <v/>
      </c>
    </row>
    <row r="20" ht="15" customHeight="1">
      <c r="A20" t="inlineStr">
        <is>
          <t>A 19279-2019</t>
        </is>
      </c>
      <c r="B20" s="1" t="n">
        <v>43565</v>
      </c>
      <c r="C20" s="1" t="n">
        <v>45566</v>
      </c>
      <c r="D20" t="inlineStr">
        <is>
          <t>JÖNKÖPINGS LÄN</t>
        </is>
      </c>
      <c r="E20" t="inlineStr">
        <is>
          <t>HABO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20147-2019</t>
        </is>
      </c>
      <c r="B21" s="1" t="n">
        <v>43570</v>
      </c>
      <c r="C21" s="1" t="n">
        <v>45566</v>
      </c>
      <c r="D21" t="inlineStr">
        <is>
          <t>JÖNKÖPINGS LÄN</t>
        </is>
      </c>
      <c r="E21" t="inlineStr">
        <is>
          <t>HABO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29504-2019</t>
        </is>
      </c>
      <c r="B22" s="1" t="n">
        <v>43627</v>
      </c>
      <c r="C22" s="1" t="n">
        <v>45566</v>
      </c>
      <c r="D22" t="inlineStr">
        <is>
          <t>JÖNKÖPINGS LÄN</t>
        </is>
      </c>
      <c r="E22" t="inlineStr">
        <is>
          <t>HABO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31123-2019</t>
        </is>
      </c>
      <c r="B23" s="1" t="n">
        <v>43640</v>
      </c>
      <c r="C23" s="1" t="n">
        <v>45566</v>
      </c>
      <c r="D23" t="inlineStr">
        <is>
          <t>JÖNKÖPINGS LÄN</t>
        </is>
      </c>
      <c r="E23" t="inlineStr">
        <is>
          <t>HABO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34068-2019</t>
        </is>
      </c>
      <c r="B24" s="1" t="n">
        <v>43654</v>
      </c>
      <c r="C24" s="1" t="n">
        <v>45566</v>
      </c>
      <c r="D24" t="inlineStr">
        <is>
          <t>JÖNKÖPINGS LÄN</t>
        </is>
      </c>
      <c r="E24" t="inlineStr">
        <is>
          <t>HABO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34785-2019</t>
        </is>
      </c>
      <c r="B25" s="1" t="n">
        <v>43658</v>
      </c>
      <c r="C25" s="1" t="n">
        <v>45566</v>
      </c>
      <c r="D25" t="inlineStr">
        <is>
          <t>JÖNKÖPINGS LÄN</t>
        </is>
      </c>
      <c r="E25" t="inlineStr">
        <is>
          <t>HABO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39374-2019</t>
        </is>
      </c>
      <c r="B26" s="1" t="n">
        <v>43690</v>
      </c>
      <c r="C26" s="1" t="n">
        <v>45566</v>
      </c>
      <c r="D26" t="inlineStr">
        <is>
          <t>JÖNKÖPINGS LÄN</t>
        </is>
      </c>
      <c r="E26" t="inlineStr">
        <is>
          <t>HABO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39522-2019</t>
        </is>
      </c>
      <c r="B27" s="1" t="n">
        <v>43691</v>
      </c>
      <c r="C27" s="1" t="n">
        <v>45566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39535-2019</t>
        </is>
      </c>
      <c r="B28" s="1" t="n">
        <v>43691</v>
      </c>
      <c r="C28" s="1" t="n">
        <v>45566</v>
      </c>
      <c r="D28" t="inlineStr">
        <is>
          <t>JÖNKÖPINGS LÄN</t>
        </is>
      </c>
      <c r="E28" t="inlineStr">
        <is>
          <t>HABO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48913-2019</t>
        </is>
      </c>
      <c r="B29" s="1" t="n">
        <v>43728</v>
      </c>
      <c r="C29" s="1" t="n">
        <v>45566</v>
      </c>
      <c r="D29" t="inlineStr">
        <is>
          <t>JÖNKÖPINGS LÄN</t>
        </is>
      </c>
      <c r="E29" t="inlineStr">
        <is>
          <t>HABO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49604-2019</t>
        </is>
      </c>
      <c r="B30" s="1" t="n">
        <v>43732</v>
      </c>
      <c r="C30" s="1" t="n">
        <v>45566</v>
      </c>
      <c r="D30" t="inlineStr">
        <is>
          <t>JÖNKÖPINGS LÄN</t>
        </is>
      </c>
      <c r="E30" t="inlineStr">
        <is>
          <t>HABO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49790-2019</t>
        </is>
      </c>
      <c r="B31" s="1" t="n">
        <v>43733</v>
      </c>
      <c r="C31" s="1" t="n">
        <v>45566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53926-2019</t>
        </is>
      </c>
      <c r="B32" s="1" t="n">
        <v>43742</v>
      </c>
      <c r="C32" s="1" t="n">
        <v>45566</v>
      </c>
      <c r="D32" t="inlineStr">
        <is>
          <t>JÖNKÖPINGS LÄN</t>
        </is>
      </c>
      <c r="E32" t="inlineStr">
        <is>
          <t>HABO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58447-2019</t>
        </is>
      </c>
      <c r="B33" s="1" t="n">
        <v>43773</v>
      </c>
      <c r="C33" s="1" t="n">
        <v>45566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58746-2019</t>
        </is>
      </c>
      <c r="B34" s="1" t="n">
        <v>43773</v>
      </c>
      <c r="C34" s="1" t="n">
        <v>45566</v>
      </c>
      <c r="D34" t="inlineStr">
        <is>
          <t>JÖNKÖPINGS LÄN</t>
        </is>
      </c>
      <c r="E34" t="inlineStr">
        <is>
          <t>HABO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59764-2019</t>
        </is>
      </c>
      <c r="B35" s="1" t="n">
        <v>43776</v>
      </c>
      <c r="C35" s="1" t="n">
        <v>45566</v>
      </c>
      <c r="D35" t="inlineStr">
        <is>
          <t>JÖNKÖPINGS LÄN</t>
        </is>
      </c>
      <c r="E35" t="inlineStr">
        <is>
          <t>HABO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59768-2019</t>
        </is>
      </c>
      <c r="B36" s="1" t="n">
        <v>43776</v>
      </c>
      <c r="C36" s="1" t="n">
        <v>45566</v>
      </c>
      <c r="D36" t="inlineStr">
        <is>
          <t>JÖNKÖPINGS LÄN</t>
        </is>
      </c>
      <c r="E36" t="inlineStr">
        <is>
          <t>HABO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60520-2019</t>
        </is>
      </c>
      <c r="B37" s="1" t="n">
        <v>43781</v>
      </c>
      <c r="C37" s="1" t="n">
        <v>45566</v>
      </c>
      <c r="D37" t="inlineStr">
        <is>
          <t>JÖNKÖPINGS LÄN</t>
        </is>
      </c>
      <c r="E37" t="inlineStr">
        <is>
          <t>HABO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60518-2019</t>
        </is>
      </c>
      <c r="B38" s="1" t="n">
        <v>43781</v>
      </c>
      <c r="C38" s="1" t="n">
        <v>45566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61420-2019</t>
        </is>
      </c>
      <c r="B39" s="1" t="n">
        <v>43783</v>
      </c>
      <c r="C39" s="1" t="n">
        <v>45566</v>
      </c>
      <c r="D39" t="inlineStr">
        <is>
          <t>JÖNKÖPINGS LÄN</t>
        </is>
      </c>
      <c r="E39" t="inlineStr">
        <is>
          <t>HABO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62647-2019</t>
        </is>
      </c>
      <c r="B40" s="1" t="n">
        <v>43789</v>
      </c>
      <c r="C40" s="1" t="n">
        <v>45566</v>
      </c>
      <c r="D40" t="inlineStr">
        <is>
          <t>JÖNKÖPINGS LÄN</t>
        </is>
      </c>
      <c r="E40" t="inlineStr">
        <is>
          <t>HABO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64751-2019</t>
        </is>
      </c>
      <c r="B41" s="1" t="n">
        <v>43801</v>
      </c>
      <c r="C41" s="1" t="n">
        <v>45566</v>
      </c>
      <c r="D41" t="inlineStr">
        <is>
          <t>JÖNKÖPINGS LÄN</t>
        </is>
      </c>
      <c r="E41" t="inlineStr">
        <is>
          <t>HABO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1013-2020</t>
        </is>
      </c>
      <c r="B42" s="1" t="n">
        <v>43839</v>
      </c>
      <c r="C42" s="1" t="n">
        <v>45566</v>
      </c>
      <c r="D42" t="inlineStr">
        <is>
          <t>JÖNKÖPINGS LÄN</t>
        </is>
      </c>
      <c r="E42" t="inlineStr">
        <is>
          <t>HABO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3746-2020</t>
        </is>
      </c>
      <c r="B43" s="1" t="n">
        <v>43854</v>
      </c>
      <c r="C43" s="1" t="n">
        <v>45566</v>
      </c>
      <c r="D43" t="inlineStr">
        <is>
          <t>JÖNKÖPINGS LÄN</t>
        </is>
      </c>
      <c r="E43" t="inlineStr">
        <is>
          <t>HABO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4175-2020</t>
        </is>
      </c>
      <c r="B44" s="1" t="n">
        <v>43857</v>
      </c>
      <c r="C44" s="1" t="n">
        <v>45566</v>
      </c>
      <c r="D44" t="inlineStr">
        <is>
          <t>JÖNKÖPINGS LÄN</t>
        </is>
      </c>
      <c r="E44" t="inlineStr">
        <is>
          <t>HABO</t>
        </is>
      </c>
      <c r="F44" t="inlineStr">
        <is>
          <t>Kyrkan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4684-2020</t>
        </is>
      </c>
      <c r="B45" s="1" t="n">
        <v>43858</v>
      </c>
      <c r="C45" s="1" t="n">
        <v>45566</v>
      </c>
      <c r="D45" t="inlineStr">
        <is>
          <t>JÖNKÖPINGS LÄN</t>
        </is>
      </c>
      <c r="E45" t="inlineStr">
        <is>
          <t>HABO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4675-2020</t>
        </is>
      </c>
      <c r="B46" s="1" t="n">
        <v>43858</v>
      </c>
      <c r="C46" s="1" t="n">
        <v>45566</v>
      </c>
      <c r="D46" t="inlineStr">
        <is>
          <t>JÖNKÖPINGS LÄN</t>
        </is>
      </c>
      <c r="E46" t="inlineStr">
        <is>
          <t>HABO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19956-2020</t>
        </is>
      </c>
      <c r="B47" s="1" t="n">
        <v>43943</v>
      </c>
      <c r="C47" s="1" t="n">
        <v>45566</v>
      </c>
      <c r="D47" t="inlineStr">
        <is>
          <t>JÖNKÖPINGS LÄN</t>
        </is>
      </c>
      <c r="E47" t="inlineStr">
        <is>
          <t>HABO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28729-2020</t>
        </is>
      </c>
      <c r="B48" s="1" t="n">
        <v>43999</v>
      </c>
      <c r="C48" s="1" t="n">
        <v>45566</v>
      </c>
      <c r="D48" t="inlineStr">
        <is>
          <t>JÖNKÖPINGS LÄN</t>
        </is>
      </c>
      <c r="E48" t="inlineStr">
        <is>
          <t>HABO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33272-2020</t>
        </is>
      </c>
      <c r="B49" s="1" t="n">
        <v>44022</v>
      </c>
      <c r="C49" s="1" t="n">
        <v>45566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36230-2020</t>
        </is>
      </c>
      <c r="B50" s="1" t="n">
        <v>44049</v>
      </c>
      <c r="C50" s="1" t="n">
        <v>45566</v>
      </c>
      <c r="D50" t="inlineStr">
        <is>
          <t>JÖNKÖPINGS LÄN</t>
        </is>
      </c>
      <c r="E50" t="inlineStr">
        <is>
          <t>HABO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55788-2020</t>
        </is>
      </c>
      <c r="B51" s="1" t="n">
        <v>44132</v>
      </c>
      <c r="C51" s="1" t="n">
        <v>45566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56917-2020</t>
        </is>
      </c>
      <c r="B52" s="1" t="n">
        <v>44137</v>
      </c>
      <c r="C52" s="1" t="n">
        <v>45566</v>
      </c>
      <c r="D52" t="inlineStr">
        <is>
          <t>JÖNKÖPINGS LÄN</t>
        </is>
      </c>
      <c r="E52" t="inlineStr">
        <is>
          <t>HABO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63523-2020</t>
        </is>
      </c>
      <c r="B53" s="1" t="n">
        <v>44165</v>
      </c>
      <c r="C53" s="1" t="n">
        <v>45566</v>
      </c>
      <c r="D53" t="inlineStr">
        <is>
          <t>JÖNKÖPINGS LÄN</t>
        </is>
      </c>
      <c r="E53" t="inlineStr">
        <is>
          <t>HABO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64669-2020</t>
        </is>
      </c>
      <c r="B54" s="1" t="n">
        <v>44169</v>
      </c>
      <c r="C54" s="1" t="n">
        <v>45566</v>
      </c>
      <c r="D54" t="inlineStr">
        <is>
          <t>JÖNKÖPINGS LÄN</t>
        </is>
      </c>
      <c r="E54" t="inlineStr">
        <is>
          <t>HABO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65890-2020</t>
        </is>
      </c>
      <c r="B55" s="1" t="n">
        <v>44174</v>
      </c>
      <c r="C55" s="1" t="n">
        <v>45566</v>
      </c>
      <c r="D55" t="inlineStr">
        <is>
          <t>JÖNKÖPINGS LÄN</t>
        </is>
      </c>
      <c r="E55" t="inlineStr">
        <is>
          <t>HABO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66444-2020</t>
        </is>
      </c>
      <c r="B56" s="1" t="n">
        <v>44176</v>
      </c>
      <c r="C56" s="1" t="n">
        <v>45566</v>
      </c>
      <c r="D56" t="inlineStr">
        <is>
          <t>JÖNKÖPINGS LÄN</t>
        </is>
      </c>
      <c r="E56" t="inlineStr">
        <is>
          <t>HABO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1388-2021</t>
        </is>
      </c>
      <c r="B57" s="1" t="n">
        <v>44208</v>
      </c>
      <c r="C57" s="1" t="n">
        <v>45566</v>
      </c>
      <c r="D57" t="inlineStr">
        <is>
          <t>JÖNKÖPINGS LÄN</t>
        </is>
      </c>
      <c r="E57" t="inlineStr">
        <is>
          <t>HABO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1396-2021</t>
        </is>
      </c>
      <c r="B58" s="1" t="n">
        <v>44208</v>
      </c>
      <c r="C58" s="1" t="n">
        <v>45566</v>
      </c>
      <c r="D58" t="inlineStr">
        <is>
          <t>JÖNKÖPINGS LÄN</t>
        </is>
      </c>
      <c r="E58" t="inlineStr">
        <is>
          <t>HABO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1400-2021</t>
        </is>
      </c>
      <c r="B59" s="1" t="n">
        <v>44208</v>
      </c>
      <c r="C59" s="1" t="n">
        <v>45566</v>
      </c>
      <c r="D59" t="inlineStr">
        <is>
          <t>JÖNKÖPINGS LÄN</t>
        </is>
      </c>
      <c r="E59" t="inlineStr">
        <is>
          <t>HABO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1412-2021</t>
        </is>
      </c>
      <c r="B60" s="1" t="n">
        <v>44208</v>
      </c>
      <c r="C60" s="1" t="n">
        <v>45566</v>
      </c>
      <c r="D60" t="inlineStr">
        <is>
          <t>JÖNKÖPINGS LÄN</t>
        </is>
      </c>
      <c r="E60" t="inlineStr">
        <is>
          <t>HABO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7069-2021</t>
        </is>
      </c>
      <c r="B61" s="1" t="n">
        <v>44237</v>
      </c>
      <c r="C61" s="1" t="n">
        <v>45566</v>
      </c>
      <c r="D61" t="inlineStr">
        <is>
          <t>JÖNKÖPINGS LÄN</t>
        </is>
      </c>
      <c r="E61" t="inlineStr">
        <is>
          <t>HABO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7070-2021</t>
        </is>
      </c>
      <c r="B62" s="1" t="n">
        <v>44237</v>
      </c>
      <c r="C62" s="1" t="n">
        <v>45566</v>
      </c>
      <c r="D62" t="inlineStr">
        <is>
          <t>JÖNKÖPINGS LÄN</t>
        </is>
      </c>
      <c r="E62" t="inlineStr">
        <is>
          <t>HABO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10964-2021</t>
        </is>
      </c>
      <c r="B63" s="1" t="n">
        <v>44260</v>
      </c>
      <c r="C63" s="1" t="n">
        <v>45566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12050-2021</t>
        </is>
      </c>
      <c r="B64" s="1" t="n">
        <v>44266</v>
      </c>
      <c r="C64" s="1" t="n">
        <v>45566</v>
      </c>
      <c r="D64" t="inlineStr">
        <is>
          <t>JÖNKÖPINGS LÄN</t>
        </is>
      </c>
      <c r="E64" t="inlineStr">
        <is>
          <t>HABO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13609-2021</t>
        </is>
      </c>
      <c r="B65" s="1" t="n">
        <v>44274</v>
      </c>
      <c r="C65" s="1" t="n">
        <v>45566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23625-2021</t>
        </is>
      </c>
      <c r="B66" s="1" t="n">
        <v>44334</v>
      </c>
      <c r="C66" s="1" t="n">
        <v>45566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26502-2021</t>
        </is>
      </c>
      <c r="B67" s="1" t="n">
        <v>44348</v>
      </c>
      <c r="C67" s="1" t="n">
        <v>45566</v>
      </c>
      <c r="D67" t="inlineStr">
        <is>
          <t>JÖNKÖPINGS LÄN</t>
        </is>
      </c>
      <c r="E67" t="inlineStr">
        <is>
          <t>HABO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28977-2021</t>
        </is>
      </c>
      <c r="B68" s="1" t="n">
        <v>44358</v>
      </c>
      <c r="C68" s="1" t="n">
        <v>45566</v>
      </c>
      <c r="D68" t="inlineStr">
        <is>
          <t>JÖNKÖPINGS LÄN</t>
        </is>
      </c>
      <c r="E68" t="inlineStr">
        <is>
          <t>HABO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29865-2021</t>
        </is>
      </c>
      <c r="B69" s="1" t="n">
        <v>44362</v>
      </c>
      <c r="C69" s="1" t="n">
        <v>45566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34734-2021</t>
        </is>
      </c>
      <c r="B70" s="1" t="n">
        <v>44382</v>
      </c>
      <c r="C70" s="1" t="n">
        <v>45566</v>
      </c>
      <c r="D70" t="inlineStr">
        <is>
          <t>JÖNKÖPINGS LÄN</t>
        </is>
      </c>
      <c r="E70" t="inlineStr">
        <is>
          <t>HABO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34738-2021</t>
        </is>
      </c>
      <c r="B71" s="1" t="n">
        <v>44382</v>
      </c>
      <c r="C71" s="1" t="n">
        <v>45566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35115-2021</t>
        </is>
      </c>
      <c r="B72" s="1" t="n">
        <v>44384</v>
      </c>
      <c r="C72" s="1" t="n">
        <v>45566</v>
      </c>
      <c r="D72" t="inlineStr">
        <is>
          <t>JÖNKÖPINGS LÄN</t>
        </is>
      </c>
      <c r="E72" t="inlineStr">
        <is>
          <t>HABO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40575-2021</t>
        </is>
      </c>
      <c r="B73" s="1" t="n">
        <v>44420</v>
      </c>
      <c r="C73" s="1" t="n">
        <v>45566</v>
      </c>
      <c r="D73" t="inlineStr">
        <is>
          <t>JÖNKÖPINGS LÄN</t>
        </is>
      </c>
      <c r="E73" t="inlineStr">
        <is>
          <t>HABO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41211-2021</t>
        </is>
      </c>
      <c r="B74" s="1" t="n">
        <v>44424</v>
      </c>
      <c r="C74" s="1" t="n">
        <v>45566</v>
      </c>
      <c r="D74" t="inlineStr">
        <is>
          <t>JÖNKÖPINGS LÄN</t>
        </is>
      </c>
      <c r="E74" t="inlineStr">
        <is>
          <t>HABO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41213-2021</t>
        </is>
      </c>
      <c r="B75" s="1" t="n">
        <v>44424</v>
      </c>
      <c r="C75" s="1" t="n">
        <v>45566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41226-2021</t>
        </is>
      </c>
      <c r="B76" s="1" t="n">
        <v>44424</v>
      </c>
      <c r="C76" s="1" t="n">
        <v>45566</v>
      </c>
      <c r="D76" t="inlineStr">
        <is>
          <t>JÖNKÖPINGS LÄN</t>
        </is>
      </c>
      <c r="E76" t="inlineStr">
        <is>
          <t>HABO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41217-2021</t>
        </is>
      </c>
      <c r="B77" s="1" t="n">
        <v>44424</v>
      </c>
      <c r="C77" s="1" t="n">
        <v>45566</v>
      </c>
      <c r="D77" t="inlineStr">
        <is>
          <t>JÖNKÖPINGS LÄN</t>
        </is>
      </c>
      <c r="E77" t="inlineStr">
        <is>
          <t>HABO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41206-2021</t>
        </is>
      </c>
      <c r="B78" s="1" t="n">
        <v>44424</v>
      </c>
      <c r="C78" s="1" t="n">
        <v>45566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41216-2021</t>
        </is>
      </c>
      <c r="B79" s="1" t="n">
        <v>44424</v>
      </c>
      <c r="C79" s="1" t="n">
        <v>45566</v>
      </c>
      <c r="D79" t="inlineStr">
        <is>
          <t>JÖNKÖPINGS LÄN</t>
        </is>
      </c>
      <c r="E79" t="inlineStr">
        <is>
          <t>HABO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41694-2021</t>
        </is>
      </c>
      <c r="B80" s="1" t="n">
        <v>44425</v>
      </c>
      <c r="C80" s="1" t="n">
        <v>45566</v>
      </c>
      <c r="D80" t="inlineStr">
        <is>
          <t>JÖNKÖPINGS LÄN</t>
        </is>
      </c>
      <c r="E80" t="inlineStr">
        <is>
          <t>HABO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42361-2021</t>
        </is>
      </c>
      <c r="B81" s="1" t="n">
        <v>44427</v>
      </c>
      <c r="C81" s="1" t="n">
        <v>45566</v>
      </c>
      <c r="D81" t="inlineStr">
        <is>
          <t>JÖNKÖPINGS LÄN</t>
        </is>
      </c>
      <c r="E81" t="inlineStr">
        <is>
          <t>HABO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45684-2021</t>
        </is>
      </c>
      <c r="B82" s="1" t="n">
        <v>44441</v>
      </c>
      <c r="C82" s="1" t="n">
        <v>45566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49577-2021</t>
        </is>
      </c>
      <c r="B83" s="1" t="n">
        <v>44455</v>
      </c>
      <c r="C83" s="1" t="n">
        <v>45566</v>
      </c>
      <c r="D83" t="inlineStr">
        <is>
          <t>JÖNKÖPINGS LÄN</t>
        </is>
      </c>
      <c r="E83" t="inlineStr">
        <is>
          <t>HABO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51366-2021</t>
        </is>
      </c>
      <c r="B84" s="1" t="n">
        <v>44461</v>
      </c>
      <c r="C84" s="1" t="n">
        <v>45566</v>
      </c>
      <c r="D84" t="inlineStr">
        <is>
          <t>JÖNKÖPINGS LÄN</t>
        </is>
      </c>
      <c r="E84" t="inlineStr">
        <is>
          <t>HABO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53914-2021</t>
        </is>
      </c>
      <c r="B85" s="1" t="n">
        <v>44469</v>
      </c>
      <c r="C85" s="1" t="n">
        <v>45566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54892-2021</t>
        </is>
      </c>
      <c r="B86" s="1" t="n">
        <v>44474</v>
      </c>
      <c r="C86" s="1" t="n">
        <v>45566</v>
      </c>
      <c r="D86" t="inlineStr">
        <is>
          <t>JÖNKÖPINGS LÄN</t>
        </is>
      </c>
      <c r="E86" t="inlineStr">
        <is>
          <t>HABO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58430-2021</t>
        </is>
      </c>
      <c r="B87" s="1" t="n">
        <v>44488</v>
      </c>
      <c r="C87" s="1" t="n">
        <v>45566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58452-2021</t>
        </is>
      </c>
      <c r="B88" s="1" t="n">
        <v>44488</v>
      </c>
      <c r="C88" s="1" t="n">
        <v>45566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58458-2021</t>
        </is>
      </c>
      <c r="B89" s="1" t="n">
        <v>44488</v>
      </c>
      <c r="C89" s="1" t="n">
        <v>45566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61399-2021</t>
        </is>
      </c>
      <c r="B90" s="1" t="n">
        <v>44500</v>
      </c>
      <c r="C90" s="1" t="n">
        <v>45566</v>
      </c>
      <c r="D90" t="inlineStr">
        <is>
          <t>JÖNKÖPINGS LÄN</t>
        </is>
      </c>
      <c r="E90" t="inlineStr">
        <is>
          <t>HABO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68331-2021</t>
        </is>
      </c>
      <c r="B91" s="1" t="n">
        <v>44527</v>
      </c>
      <c r="C91" s="1" t="n">
        <v>45566</v>
      </c>
      <c r="D91" t="inlineStr">
        <is>
          <t>JÖNKÖPINGS LÄN</t>
        </is>
      </c>
      <c r="E91" t="inlineStr">
        <is>
          <t>HABO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68884-2021</t>
        </is>
      </c>
      <c r="B92" s="1" t="n">
        <v>44530</v>
      </c>
      <c r="C92" s="1" t="n">
        <v>45566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68886-2021</t>
        </is>
      </c>
      <c r="B93" s="1" t="n">
        <v>44530</v>
      </c>
      <c r="C93" s="1" t="n">
        <v>45566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69706-2021</t>
        </is>
      </c>
      <c r="B94" s="1" t="n">
        <v>44532</v>
      </c>
      <c r="C94" s="1" t="n">
        <v>45566</v>
      </c>
      <c r="D94" t="inlineStr">
        <is>
          <t>JÖNKÖPINGS LÄN</t>
        </is>
      </c>
      <c r="E94" t="inlineStr">
        <is>
          <t>HABO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532-2022</t>
        </is>
      </c>
      <c r="B95" s="1" t="n">
        <v>44566</v>
      </c>
      <c r="C95" s="1" t="n">
        <v>45566</v>
      </c>
      <c r="D95" t="inlineStr">
        <is>
          <t>JÖNKÖPINGS LÄN</t>
        </is>
      </c>
      <c r="E95" t="inlineStr">
        <is>
          <t>HABO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1004-2022</t>
        </is>
      </c>
      <c r="B96" s="1" t="n">
        <v>44571</v>
      </c>
      <c r="C96" s="1" t="n">
        <v>45566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1876-2022</t>
        </is>
      </c>
      <c r="B97" s="1" t="n">
        <v>44575</v>
      </c>
      <c r="C97" s="1" t="n">
        <v>45566</v>
      </c>
      <c r="D97" t="inlineStr">
        <is>
          <t>JÖNKÖPINGS LÄN</t>
        </is>
      </c>
      <c r="E97" t="inlineStr">
        <is>
          <t>HABO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10432-2022</t>
        </is>
      </c>
      <c r="B98" s="1" t="n">
        <v>44623</v>
      </c>
      <c r="C98" s="1" t="n">
        <v>45566</v>
      </c>
      <c r="D98" t="inlineStr">
        <is>
          <t>JÖNKÖPINGS LÄN</t>
        </is>
      </c>
      <c r="E98" t="inlineStr">
        <is>
          <t>HABO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10943-2022</t>
        </is>
      </c>
      <c r="B99" s="1" t="n">
        <v>44628</v>
      </c>
      <c r="C99" s="1" t="n">
        <v>45566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11075-2022</t>
        </is>
      </c>
      <c r="B100" s="1" t="n">
        <v>44628</v>
      </c>
      <c r="C100" s="1" t="n">
        <v>45566</v>
      </c>
      <c r="D100" t="inlineStr">
        <is>
          <t>JÖNKÖPINGS LÄN</t>
        </is>
      </c>
      <c r="E100" t="inlineStr">
        <is>
          <t>HABO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12592-2022</t>
        </is>
      </c>
      <c r="B101" s="1" t="n">
        <v>44640</v>
      </c>
      <c r="C101" s="1" t="n">
        <v>45566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13250-2022</t>
        </is>
      </c>
      <c r="B102" s="1" t="n">
        <v>44644</v>
      </c>
      <c r="C102" s="1" t="n">
        <v>45566</v>
      </c>
      <c r="D102" t="inlineStr">
        <is>
          <t>JÖNKÖPINGS LÄN</t>
        </is>
      </c>
      <c r="E102" t="inlineStr">
        <is>
          <t>HABO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16307-2022</t>
        </is>
      </c>
      <c r="B103" s="1" t="n">
        <v>44670</v>
      </c>
      <c r="C103" s="1" t="n">
        <v>45566</v>
      </c>
      <c r="D103" t="inlineStr">
        <is>
          <t>JÖNKÖPINGS LÄN</t>
        </is>
      </c>
      <c r="E103" t="inlineStr">
        <is>
          <t>HABO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16226-2022</t>
        </is>
      </c>
      <c r="B104" s="1" t="n">
        <v>44670</v>
      </c>
      <c r="C104" s="1" t="n">
        <v>45566</v>
      </c>
      <c r="D104" t="inlineStr">
        <is>
          <t>JÖNKÖPINGS LÄN</t>
        </is>
      </c>
      <c r="E104" t="inlineStr">
        <is>
          <t>HABO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17873-2022</t>
        </is>
      </c>
      <c r="B105" s="1" t="n">
        <v>44683</v>
      </c>
      <c r="C105" s="1" t="n">
        <v>45566</v>
      </c>
      <c r="D105" t="inlineStr">
        <is>
          <t>JÖNKÖPINGS LÄN</t>
        </is>
      </c>
      <c r="E105" t="inlineStr">
        <is>
          <t>HABO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17871-2022</t>
        </is>
      </c>
      <c r="B106" s="1" t="n">
        <v>44683</v>
      </c>
      <c r="C106" s="1" t="n">
        <v>45566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19570-2022</t>
        </is>
      </c>
      <c r="B107" s="1" t="n">
        <v>44693</v>
      </c>
      <c r="C107" s="1" t="n">
        <v>45566</v>
      </c>
      <c r="D107" t="inlineStr">
        <is>
          <t>JÖNKÖPINGS LÄN</t>
        </is>
      </c>
      <c r="E107" t="inlineStr">
        <is>
          <t>HABO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19569-2022</t>
        </is>
      </c>
      <c r="B108" s="1" t="n">
        <v>44693</v>
      </c>
      <c r="C108" s="1" t="n">
        <v>45566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24701-2022</t>
        </is>
      </c>
      <c r="B109" s="1" t="n">
        <v>44727</v>
      </c>
      <c r="C109" s="1" t="n">
        <v>45566</v>
      </c>
      <c r="D109" t="inlineStr">
        <is>
          <t>JÖNKÖPINGS LÄN</t>
        </is>
      </c>
      <c r="E109" t="inlineStr">
        <is>
          <t>HABO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28813-2022</t>
        </is>
      </c>
      <c r="B110" s="1" t="n">
        <v>44749</v>
      </c>
      <c r="C110" s="1" t="n">
        <v>45566</v>
      </c>
      <c r="D110" t="inlineStr">
        <is>
          <t>JÖNKÖPINGS LÄN</t>
        </is>
      </c>
      <c r="E110" t="inlineStr">
        <is>
          <t>HABO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28821-2022</t>
        </is>
      </c>
      <c r="B111" s="1" t="n">
        <v>44749</v>
      </c>
      <c r="C111" s="1" t="n">
        <v>45566</v>
      </c>
      <c r="D111" t="inlineStr">
        <is>
          <t>JÖNKÖPINGS LÄN</t>
        </is>
      </c>
      <c r="E111" t="inlineStr">
        <is>
          <t>HABO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28816-2022</t>
        </is>
      </c>
      <c r="B112" s="1" t="n">
        <v>44749</v>
      </c>
      <c r="C112" s="1" t="n">
        <v>45566</v>
      </c>
      <c r="D112" t="inlineStr">
        <is>
          <t>JÖNKÖPINGS LÄN</t>
        </is>
      </c>
      <c r="E112" t="inlineStr">
        <is>
          <t>HABO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28810-2022</t>
        </is>
      </c>
      <c r="B113" s="1" t="n">
        <v>44749</v>
      </c>
      <c r="C113" s="1" t="n">
        <v>45566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28817-2022</t>
        </is>
      </c>
      <c r="B114" s="1" t="n">
        <v>44749</v>
      </c>
      <c r="C114" s="1" t="n">
        <v>45566</v>
      </c>
      <c r="D114" t="inlineStr">
        <is>
          <t>JÖNKÖPINGS LÄN</t>
        </is>
      </c>
      <c r="E114" t="inlineStr">
        <is>
          <t>HABO</t>
        </is>
      </c>
      <c r="G114" t="n">
        <v>22.4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28825-2022</t>
        </is>
      </c>
      <c r="B115" s="1" t="n">
        <v>44749</v>
      </c>
      <c r="C115" s="1" t="n">
        <v>45566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31112-2022</t>
        </is>
      </c>
      <c r="B116" s="1" t="n">
        <v>44769</v>
      </c>
      <c r="C116" s="1" t="n">
        <v>45566</v>
      </c>
      <c r="D116" t="inlineStr">
        <is>
          <t>JÖNKÖPINGS LÄN</t>
        </is>
      </c>
      <c r="E116" t="inlineStr">
        <is>
          <t>HABO</t>
        </is>
      </c>
      <c r="F116" t="inlineStr">
        <is>
          <t>Kyrkan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31591-2022</t>
        </is>
      </c>
      <c r="B117" s="1" t="n">
        <v>44775</v>
      </c>
      <c r="C117" s="1" t="n">
        <v>45566</v>
      </c>
      <c r="D117" t="inlineStr">
        <is>
          <t>JÖNKÖPINGS LÄN</t>
        </is>
      </c>
      <c r="E117" t="inlineStr">
        <is>
          <t>HABO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32545-2022</t>
        </is>
      </c>
      <c r="B118" s="1" t="n">
        <v>44783</v>
      </c>
      <c r="C118" s="1" t="n">
        <v>45566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35148-2022</t>
        </is>
      </c>
      <c r="B119" s="1" t="n">
        <v>44797</v>
      </c>
      <c r="C119" s="1" t="n">
        <v>45566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35574-2022</t>
        </is>
      </c>
      <c r="B120" s="1" t="n">
        <v>44799</v>
      </c>
      <c r="C120" s="1" t="n">
        <v>45566</v>
      </c>
      <c r="D120" t="inlineStr">
        <is>
          <t>JÖNKÖPINGS LÄN</t>
        </is>
      </c>
      <c r="E120" t="inlineStr">
        <is>
          <t>HABO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35626-2022</t>
        </is>
      </c>
      <c r="B121" s="1" t="n">
        <v>44799</v>
      </c>
      <c r="C121" s="1" t="n">
        <v>45566</v>
      </c>
      <c r="D121" t="inlineStr">
        <is>
          <t>JÖNKÖPINGS LÄN</t>
        </is>
      </c>
      <c r="E121" t="inlineStr">
        <is>
          <t>HABO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35775-2022</t>
        </is>
      </c>
      <c r="B122" s="1" t="n">
        <v>44801</v>
      </c>
      <c r="C122" s="1" t="n">
        <v>45566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35779-2022</t>
        </is>
      </c>
      <c r="B123" s="1" t="n">
        <v>44801</v>
      </c>
      <c r="C123" s="1" t="n">
        <v>45566</v>
      </c>
      <c r="D123" t="inlineStr">
        <is>
          <t>JÖNKÖPINGS LÄN</t>
        </is>
      </c>
      <c r="E123" t="inlineStr">
        <is>
          <t>HABO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35774-2022</t>
        </is>
      </c>
      <c r="B124" s="1" t="n">
        <v>44801</v>
      </c>
      <c r="C124" s="1" t="n">
        <v>45566</v>
      </c>
      <c r="D124" t="inlineStr">
        <is>
          <t>JÖNKÖPINGS LÄN</t>
        </is>
      </c>
      <c r="E124" t="inlineStr">
        <is>
          <t>HABO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38771-2022</t>
        </is>
      </c>
      <c r="B125" s="1" t="n">
        <v>44816</v>
      </c>
      <c r="C125" s="1" t="n">
        <v>45566</v>
      </c>
      <c r="D125" t="inlineStr">
        <is>
          <t>JÖNKÖPINGS LÄN</t>
        </is>
      </c>
      <c r="E125" t="inlineStr">
        <is>
          <t>HABO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38779-2022</t>
        </is>
      </c>
      <c r="B126" s="1" t="n">
        <v>44816</v>
      </c>
      <c r="C126" s="1" t="n">
        <v>45566</v>
      </c>
      <c r="D126" t="inlineStr">
        <is>
          <t>JÖNKÖPINGS LÄN</t>
        </is>
      </c>
      <c r="E126" t="inlineStr">
        <is>
          <t>HABO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40646-2022</t>
        </is>
      </c>
      <c r="B127" s="1" t="n">
        <v>44824</v>
      </c>
      <c r="C127" s="1" t="n">
        <v>45566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41910-2022</t>
        </is>
      </c>
      <c r="B128" s="1" t="n">
        <v>44830</v>
      </c>
      <c r="C128" s="1" t="n">
        <v>45566</v>
      </c>
      <c r="D128" t="inlineStr">
        <is>
          <t>JÖNKÖPINGS LÄN</t>
        </is>
      </c>
      <c r="E128" t="inlineStr">
        <is>
          <t>HABO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45601-2022</t>
        </is>
      </c>
      <c r="B129" s="1" t="n">
        <v>44845</v>
      </c>
      <c r="C129" s="1" t="n">
        <v>45566</v>
      </c>
      <c r="D129" t="inlineStr">
        <is>
          <t>JÖNKÖPINGS LÄN</t>
        </is>
      </c>
      <c r="E129" t="inlineStr">
        <is>
          <t>HABO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45803-2022</t>
        </is>
      </c>
      <c r="B130" s="1" t="n">
        <v>44846</v>
      </c>
      <c r="C130" s="1" t="n">
        <v>45566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46078-2022</t>
        </is>
      </c>
      <c r="B131" s="1" t="n">
        <v>44847</v>
      </c>
      <c r="C131" s="1" t="n">
        <v>45566</v>
      </c>
      <c r="D131" t="inlineStr">
        <is>
          <t>JÖNKÖPINGS LÄN</t>
        </is>
      </c>
      <c r="E131" t="inlineStr">
        <is>
          <t>HABO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47440-2022</t>
        </is>
      </c>
      <c r="B132" s="1" t="n">
        <v>44853</v>
      </c>
      <c r="C132" s="1" t="n">
        <v>45566</v>
      </c>
      <c r="D132" t="inlineStr">
        <is>
          <t>JÖNKÖPINGS LÄN</t>
        </is>
      </c>
      <c r="E132" t="inlineStr">
        <is>
          <t>HABO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48739-2022</t>
        </is>
      </c>
      <c r="B133" s="1" t="n">
        <v>44859</v>
      </c>
      <c r="C133" s="1" t="n">
        <v>45566</v>
      </c>
      <c r="D133" t="inlineStr">
        <is>
          <t>JÖNKÖPINGS LÄN</t>
        </is>
      </c>
      <c r="E133" t="inlineStr">
        <is>
          <t>HABO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49471-2022</t>
        </is>
      </c>
      <c r="B134" s="1" t="n">
        <v>44861</v>
      </c>
      <c r="C134" s="1" t="n">
        <v>45566</v>
      </c>
      <c r="D134" t="inlineStr">
        <is>
          <t>JÖNKÖPINGS LÄN</t>
        </is>
      </c>
      <c r="E134" t="inlineStr">
        <is>
          <t>HABO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53264-2022</t>
        </is>
      </c>
      <c r="B135" s="1" t="n">
        <v>44876</v>
      </c>
      <c r="C135" s="1" t="n">
        <v>45566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53300-2022</t>
        </is>
      </c>
      <c r="B136" s="1" t="n">
        <v>44877</v>
      </c>
      <c r="C136" s="1" t="n">
        <v>45566</v>
      </c>
      <c r="D136" t="inlineStr">
        <is>
          <t>JÖNKÖPINGS LÄN</t>
        </is>
      </c>
      <c r="E136" t="inlineStr">
        <is>
          <t>HABO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53301-2022</t>
        </is>
      </c>
      <c r="B137" s="1" t="n">
        <v>44877</v>
      </c>
      <c r="C137" s="1" t="n">
        <v>45566</v>
      </c>
      <c r="D137" t="inlineStr">
        <is>
          <t>JÖNKÖPINGS LÄN</t>
        </is>
      </c>
      <c r="E137" t="inlineStr">
        <is>
          <t>HABO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56767-2022</t>
        </is>
      </c>
      <c r="B138" s="1" t="n">
        <v>44894</v>
      </c>
      <c r="C138" s="1" t="n">
        <v>45566</v>
      </c>
      <c r="D138" t="inlineStr">
        <is>
          <t>JÖNKÖPINGS LÄN</t>
        </is>
      </c>
      <c r="E138" t="inlineStr">
        <is>
          <t>HABO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57360-2022</t>
        </is>
      </c>
      <c r="B139" s="1" t="n">
        <v>44896</v>
      </c>
      <c r="C139" s="1" t="n">
        <v>45566</v>
      </c>
      <c r="D139" t="inlineStr">
        <is>
          <t>JÖNKÖPINGS LÄN</t>
        </is>
      </c>
      <c r="E139" t="inlineStr">
        <is>
          <t>HABO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57370-2022</t>
        </is>
      </c>
      <c r="B140" s="1" t="n">
        <v>44896</v>
      </c>
      <c r="C140" s="1" t="n">
        <v>45566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57368-2022</t>
        </is>
      </c>
      <c r="B141" s="1" t="n">
        <v>44896</v>
      </c>
      <c r="C141" s="1" t="n">
        <v>45566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58462-2022</t>
        </is>
      </c>
      <c r="B142" s="1" t="n">
        <v>44902</v>
      </c>
      <c r="C142" s="1" t="n">
        <v>45566</v>
      </c>
      <c r="D142" t="inlineStr">
        <is>
          <t>JÖNKÖPINGS LÄN</t>
        </is>
      </c>
      <c r="E142" t="inlineStr">
        <is>
          <t>HABO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59928-2022</t>
        </is>
      </c>
      <c r="B143" s="1" t="n">
        <v>44909</v>
      </c>
      <c r="C143" s="1" t="n">
        <v>45566</v>
      </c>
      <c r="D143" t="inlineStr">
        <is>
          <t>JÖNKÖPINGS LÄN</t>
        </is>
      </c>
      <c r="E143" t="inlineStr">
        <is>
          <t>HABO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60726-2022</t>
        </is>
      </c>
      <c r="B144" s="1" t="n">
        <v>44913</v>
      </c>
      <c r="C144" s="1" t="n">
        <v>45566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60953-2022</t>
        </is>
      </c>
      <c r="B145" s="1" t="n">
        <v>44914</v>
      </c>
      <c r="C145" s="1" t="n">
        <v>45566</v>
      </c>
      <c r="D145" t="inlineStr">
        <is>
          <t>JÖNKÖPINGS LÄN</t>
        </is>
      </c>
      <c r="E145" t="inlineStr">
        <is>
          <t>HABO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60950-2022</t>
        </is>
      </c>
      <c r="B146" s="1" t="n">
        <v>44914</v>
      </c>
      <c r="C146" s="1" t="n">
        <v>45566</v>
      </c>
      <c r="D146" t="inlineStr">
        <is>
          <t>JÖNKÖPINGS LÄN</t>
        </is>
      </c>
      <c r="E146" t="inlineStr">
        <is>
          <t>HABO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60965-2022</t>
        </is>
      </c>
      <c r="B147" s="1" t="n">
        <v>44914</v>
      </c>
      <c r="C147" s="1" t="n">
        <v>45566</v>
      </c>
      <c r="D147" t="inlineStr">
        <is>
          <t>JÖNKÖPINGS LÄN</t>
        </is>
      </c>
      <c r="E147" t="inlineStr">
        <is>
          <t>HABO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60971-2022</t>
        </is>
      </c>
      <c r="B148" s="1" t="n">
        <v>44914</v>
      </c>
      <c r="C148" s="1" t="n">
        <v>45566</v>
      </c>
      <c r="D148" t="inlineStr">
        <is>
          <t>JÖNKÖPINGS LÄN</t>
        </is>
      </c>
      <c r="E148" t="inlineStr">
        <is>
          <t>HABO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2073-2023</t>
        </is>
      </c>
      <c r="B149" s="1" t="n">
        <v>44939</v>
      </c>
      <c r="C149" s="1" t="n">
        <v>45566</v>
      </c>
      <c r="D149" t="inlineStr">
        <is>
          <t>JÖNKÖPINGS LÄN</t>
        </is>
      </c>
      <c r="E149" t="inlineStr">
        <is>
          <t>HABO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2780-2023</t>
        </is>
      </c>
      <c r="B150" s="1" t="n">
        <v>44944</v>
      </c>
      <c r="C150" s="1" t="n">
        <v>45566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3710-2023</t>
        </is>
      </c>
      <c r="B151" s="1" t="n">
        <v>44951</v>
      </c>
      <c r="C151" s="1" t="n">
        <v>45566</v>
      </c>
      <c r="D151" t="inlineStr">
        <is>
          <t>JÖNKÖPINGS LÄN</t>
        </is>
      </c>
      <c r="E151" t="inlineStr">
        <is>
          <t>HABO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3716-2023</t>
        </is>
      </c>
      <c r="B152" s="1" t="n">
        <v>44951</v>
      </c>
      <c r="C152" s="1" t="n">
        <v>45566</v>
      </c>
      <c r="D152" t="inlineStr">
        <is>
          <t>JÖNKÖPINGS LÄN</t>
        </is>
      </c>
      <c r="E152" t="inlineStr">
        <is>
          <t>HABO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10876-2023</t>
        </is>
      </c>
      <c r="B153" s="1" t="n">
        <v>44991</v>
      </c>
      <c r="C153" s="1" t="n">
        <v>45566</v>
      </c>
      <c r="D153" t="inlineStr">
        <is>
          <t>JÖNKÖPINGS LÄN</t>
        </is>
      </c>
      <c r="E153" t="inlineStr">
        <is>
          <t>HABO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11906-2023</t>
        </is>
      </c>
      <c r="B154" s="1" t="n">
        <v>44995</v>
      </c>
      <c r="C154" s="1" t="n">
        <v>45566</v>
      </c>
      <c r="D154" t="inlineStr">
        <is>
          <t>JÖNKÖPINGS LÄN</t>
        </is>
      </c>
      <c r="E154" t="inlineStr">
        <is>
          <t>HABO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11907-2023</t>
        </is>
      </c>
      <c r="B155" s="1" t="n">
        <v>44995</v>
      </c>
      <c r="C155" s="1" t="n">
        <v>45566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11887-2023</t>
        </is>
      </c>
      <c r="B156" s="1" t="n">
        <v>44995</v>
      </c>
      <c r="C156" s="1" t="n">
        <v>45566</v>
      </c>
      <c r="D156" t="inlineStr">
        <is>
          <t>JÖNKÖPINGS LÄN</t>
        </is>
      </c>
      <c r="E156" t="inlineStr">
        <is>
          <t>HABO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12688-2023</t>
        </is>
      </c>
      <c r="B157" s="1" t="n">
        <v>45000</v>
      </c>
      <c r="C157" s="1" t="n">
        <v>45566</v>
      </c>
      <c r="D157" t="inlineStr">
        <is>
          <t>JÖNKÖPINGS LÄN</t>
        </is>
      </c>
      <c r="E157" t="inlineStr">
        <is>
          <t>HABO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12691-2023</t>
        </is>
      </c>
      <c r="B158" s="1" t="n">
        <v>45000</v>
      </c>
      <c r="C158" s="1" t="n">
        <v>45566</v>
      </c>
      <c r="D158" t="inlineStr">
        <is>
          <t>JÖNKÖPINGS LÄN</t>
        </is>
      </c>
      <c r="E158" t="inlineStr">
        <is>
          <t>HABO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13880-2023</t>
        </is>
      </c>
      <c r="B159" s="1" t="n">
        <v>45007</v>
      </c>
      <c r="C159" s="1" t="n">
        <v>45566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15100-2023</t>
        </is>
      </c>
      <c r="B160" s="1" t="n">
        <v>45016</v>
      </c>
      <c r="C160" s="1" t="n">
        <v>45566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15518-2023</t>
        </is>
      </c>
      <c r="B161" s="1" t="n">
        <v>45020</v>
      </c>
      <c r="C161" s="1" t="n">
        <v>45566</v>
      </c>
      <c r="D161" t="inlineStr">
        <is>
          <t>JÖNKÖPINGS LÄN</t>
        </is>
      </c>
      <c r="E161" t="inlineStr">
        <is>
          <t>HABO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15516-2023</t>
        </is>
      </c>
      <c r="B162" s="1" t="n">
        <v>45020</v>
      </c>
      <c r="C162" s="1" t="n">
        <v>45566</v>
      </c>
      <c r="D162" t="inlineStr">
        <is>
          <t>JÖNKÖPINGS LÄN</t>
        </is>
      </c>
      <c r="E162" t="inlineStr">
        <is>
          <t>HABO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15517-2023</t>
        </is>
      </c>
      <c r="B163" s="1" t="n">
        <v>45020</v>
      </c>
      <c r="C163" s="1" t="n">
        <v>45566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15520-2023</t>
        </is>
      </c>
      <c r="B164" s="1" t="n">
        <v>45020</v>
      </c>
      <c r="C164" s="1" t="n">
        <v>45566</v>
      </c>
      <c r="D164" t="inlineStr">
        <is>
          <t>JÖNKÖPINGS LÄN</t>
        </is>
      </c>
      <c r="E164" t="inlineStr">
        <is>
          <t>HABO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15802-2023</t>
        </is>
      </c>
      <c r="B165" s="1" t="n">
        <v>45021</v>
      </c>
      <c r="C165" s="1" t="n">
        <v>45566</v>
      </c>
      <c r="D165" t="inlineStr">
        <is>
          <t>JÖNKÖPINGS LÄN</t>
        </is>
      </c>
      <c r="E165" t="inlineStr">
        <is>
          <t>HABO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16509-2023</t>
        </is>
      </c>
      <c r="B166" s="1" t="n">
        <v>45029</v>
      </c>
      <c r="C166" s="1" t="n">
        <v>45566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16726-2023</t>
        </is>
      </c>
      <c r="B167" s="1" t="n">
        <v>45030</v>
      </c>
      <c r="C167" s="1" t="n">
        <v>45566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16727-2023</t>
        </is>
      </c>
      <c r="B168" s="1" t="n">
        <v>45030</v>
      </c>
      <c r="C168" s="1" t="n">
        <v>45566</v>
      </c>
      <c r="D168" t="inlineStr">
        <is>
          <t>JÖNKÖPINGS LÄN</t>
        </is>
      </c>
      <c r="E168" t="inlineStr">
        <is>
          <t>HABO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18832-2023</t>
        </is>
      </c>
      <c r="B169" s="1" t="n">
        <v>45044</v>
      </c>
      <c r="C169" s="1" t="n">
        <v>45566</v>
      </c>
      <c r="D169" t="inlineStr">
        <is>
          <t>JÖNKÖPINGS LÄN</t>
        </is>
      </c>
      <c r="E169" t="inlineStr">
        <is>
          <t>HABO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26207-2023</t>
        </is>
      </c>
      <c r="B170" s="1" t="n">
        <v>45091</v>
      </c>
      <c r="C170" s="1" t="n">
        <v>45566</v>
      </c>
      <c r="D170" t="inlineStr">
        <is>
          <t>JÖNKÖPINGS LÄN</t>
        </is>
      </c>
      <c r="E170" t="inlineStr">
        <is>
          <t>HABO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26212-2023</t>
        </is>
      </c>
      <c r="B171" s="1" t="n">
        <v>45091</v>
      </c>
      <c r="C171" s="1" t="n">
        <v>45566</v>
      </c>
      <c r="D171" t="inlineStr">
        <is>
          <t>JÖNKÖPINGS LÄN</t>
        </is>
      </c>
      <c r="E171" t="inlineStr">
        <is>
          <t>HABO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26192-2023</t>
        </is>
      </c>
      <c r="B172" s="1" t="n">
        <v>45091</v>
      </c>
      <c r="C172" s="1" t="n">
        <v>45566</v>
      </c>
      <c r="D172" t="inlineStr">
        <is>
          <t>JÖNKÖPINGS LÄN</t>
        </is>
      </c>
      <c r="E172" t="inlineStr">
        <is>
          <t>HABO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26202-2023</t>
        </is>
      </c>
      <c r="B173" s="1" t="n">
        <v>45091</v>
      </c>
      <c r="C173" s="1" t="n">
        <v>45566</v>
      </c>
      <c r="D173" t="inlineStr">
        <is>
          <t>JÖNKÖPINGS LÄN</t>
        </is>
      </c>
      <c r="E173" t="inlineStr">
        <is>
          <t>HABO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26197-2023</t>
        </is>
      </c>
      <c r="B174" s="1" t="n">
        <v>45091</v>
      </c>
      <c r="C174" s="1" t="n">
        <v>45566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26189-2023</t>
        </is>
      </c>
      <c r="B175" s="1" t="n">
        <v>45091</v>
      </c>
      <c r="C175" s="1" t="n">
        <v>45566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28131-2023</t>
        </is>
      </c>
      <c r="B176" s="1" t="n">
        <v>45099</v>
      </c>
      <c r="C176" s="1" t="n">
        <v>45566</v>
      </c>
      <c r="D176" t="inlineStr">
        <is>
          <t>JÖNKÖPINGS LÄN</t>
        </is>
      </c>
      <c r="E176" t="inlineStr">
        <is>
          <t>HABO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28135-2023</t>
        </is>
      </c>
      <c r="B177" s="1" t="n">
        <v>45099</v>
      </c>
      <c r="C177" s="1" t="n">
        <v>45566</v>
      </c>
      <c r="D177" t="inlineStr">
        <is>
          <t>JÖNKÖPINGS LÄN</t>
        </is>
      </c>
      <c r="E177" t="inlineStr">
        <is>
          <t>HABO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28140-2023</t>
        </is>
      </c>
      <c r="B178" s="1" t="n">
        <v>45099</v>
      </c>
      <c r="C178" s="1" t="n">
        <v>45566</v>
      </c>
      <c r="D178" t="inlineStr">
        <is>
          <t>JÖNKÖPINGS LÄN</t>
        </is>
      </c>
      <c r="E178" t="inlineStr">
        <is>
          <t>HABO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28947-2023</t>
        </is>
      </c>
      <c r="B179" s="1" t="n">
        <v>45104</v>
      </c>
      <c r="C179" s="1" t="n">
        <v>45566</v>
      </c>
      <c r="D179" t="inlineStr">
        <is>
          <t>JÖNKÖPINGS LÄN</t>
        </is>
      </c>
      <c r="E179" t="inlineStr">
        <is>
          <t>HABO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29408-2023</t>
        </is>
      </c>
      <c r="B180" s="1" t="n">
        <v>45106</v>
      </c>
      <c r="C180" s="1" t="n">
        <v>45566</v>
      </c>
      <c r="D180" t="inlineStr">
        <is>
          <t>JÖNKÖPINGS LÄN</t>
        </is>
      </c>
      <c r="E180" t="inlineStr">
        <is>
          <t>HABO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29733-2023</t>
        </is>
      </c>
      <c r="B181" s="1" t="n">
        <v>45107</v>
      </c>
      <c r="C181" s="1" t="n">
        <v>45566</v>
      </c>
      <c r="D181" t="inlineStr">
        <is>
          <t>JÖNKÖPINGS LÄN</t>
        </is>
      </c>
      <c r="E181" t="inlineStr">
        <is>
          <t>HABO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29730-2023</t>
        </is>
      </c>
      <c r="B182" s="1" t="n">
        <v>45107</v>
      </c>
      <c r="C182" s="1" t="n">
        <v>45566</v>
      </c>
      <c r="D182" t="inlineStr">
        <is>
          <t>JÖNKÖPINGS LÄN</t>
        </is>
      </c>
      <c r="E182" t="inlineStr">
        <is>
          <t>HABO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30348-2023</t>
        </is>
      </c>
      <c r="B183" s="1" t="n">
        <v>45111</v>
      </c>
      <c r="C183" s="1" t="n">
        <v>45566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30352-2023</t>
        </is>
      </c>
      <c r="B184" s="1" t="n">
        <v>45111</v>
      </c>
      <c r="C184" s="1" t="n">
        <v>45566</v>
      </c>
      <c r="D184" t="inlineStr">
        <is>
          <t>JÖNKÖPINGS LÄN</t>
        </is>
      </c>
      <c r="E184" t="inlineStr">
        <is>
          <t>HABO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30350-2023</t>
        </is>
      </c>
      <c r="B185" s="1" t="n">
        <v>45111</v>
      </c>
      <c r="C185" s="1" t="n">
        <v>45566</v>
      </c>
      <c r="D185" t="inlineStr">
        <is>
          <t>JÖNKÖPINGS LÄN</t>
        </is>
      </c>
      <c r="E185" t="inlineStr">
        <is>
          <t>HABO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30340-2023</t>
        </is>
      </c>
      <c r="B186" s="1" t="n">
        <v>45111</v>
      </c>
      <c r="C186" s="1" t="n">
        <v>45566</v>
      </c>
      <c r="D186" t="inlineStr">
        <is>
          <t>JÖNKÖPINGS LÄN</t>
        </is>
      </c>
      <c r="E186" t="inlineStr">
        <is>
          <t>HABO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30351-2023</t>
        </is>
      </c>
      <c r="B187" s="1" t="n">
        <v>45111</v>
      </c>
      <c r="C187" s="1" t="n">
        <v>45566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30355-2023</t>
        </is>
      </c>
      <c r="B188" s="1" t="n">
        <v>45111</v>
      </c>
      <c r="C188" s="1" t="n">
        <v>45566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30863-2023</t>
        </is>
      </c>
      <c r="B189" s="1" t="n">
        <v>45113</v>
      </c>
      <c r="C189" s="1" t="n">
        <v>45566</v>
      </c>
      <c r="D189" t="inlineStr">
        <is>
          <t>JÖNKÖPINGS LÄN</t>
        </is>
      </c>
      <c r="E189" t="inlineStr">
        <is>
          <t>HABO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32238-2023</t>
        </is>
      </c>
      <c r="B190" s="1" t="n">
        <v>45120</v>
      </c>
      <c r="C190" s="1" t="n">
        <v>45566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32242-2023</t>
        </is>
      </c>
      <c r="B191" s="1" t="n">
        <v>45119</v>
      </c>
      <c r="C191" s="1" t="n">
        <v>45566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32236-2023</t>
        </is>
      </c>
      <c r="B192" s="1" t="n">
        <v>45120</v>
      </c>
      <c r="C192" s="1" t="n">
        <v>45566</v>
      </c>
      <c r="D192" t="inlineStr">
        <is>
          <t>JÖNKÖPINGS LÄN</t>
        </is>
      </c>
      <c r="E192" t="inlineStr">
        <is>
          <t>HABO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32240-2023</t>
        </is>
      </c>
      <c r="B193" s="1" t="n">
        <v>45120</v>
      </c>
      <c r="C193" s="1" t="n">
        <v>45566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32244-2023</t>
        </is>
      </c>
      <c r="B194" s="1" t="n">
        <v>45119</v>
      </c>
      <c r="C194" s="1" t="n">
        <v>45566</v>
      </c>
      <c r="D194" t="inlineStr">
        <is>
          <t>JÖNKÖPINGS LÄN</t>
        </is>
      </c>
      <c r="E194" t="inlineStr">
        <is>
          <t>HABO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32235-2023</t>
        </is>
      </c>
      <c r="B195" s="1" t="n">
        <v>45120</v>
      </c>
      <c r="C195" s="1" t="n">
        <v>45566</v>
      </c>
      <c r="D195" t="inlineStr">
        <is>
          <t>JÖNKÖPINGS LÄN</t>
        </is>
      </c>
      <c r="E195" t="inlineStr">
        <is>
          <t>HABO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32239-2023</t>
        </is>
      </c>
      <c r="B196" s="1" t="n">
        <v>45119</v>
      </c>
      <c r="C196" s="1" t="n">
        <v>45566</v>
      </c>
      <c r="D196" t="inlineStr">
        <is>
          <t>JÖNKÖPINGS LÄN</t>
        </is>
      </c>
      <c r="E196" t="inlineStr">
        <is>
          <t>HABO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32243-2023</t>
        </is>
      </c>
      <c r="B197" s="1" t="n">
        <v>45119</v>
      </c>
      <c r="C197" s="1" t="n">
        <v>45566</v>
      </c>
      <c r="D197" t="inlineStr">
        <is>
          <t>JÖNKÖPINGS LÄN</t>
        </is>
      </c>
      <c r="E197" t="inlineStr">
        <is>
          <t>HABO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32245-2023</t>
        </is>
      </c>
      <c r="B198" s="1" t="n">
        <v>45120</v>
      </c>
      <c r="C198" s="1" t="n">
        <v>45566</v>
      </c>
      <c r="D198" t="inlineStr">
        <is>
          <t>JÖNKÖPINGS LÄN</t>
        </is>
      </c>
      <c r="E198" t="inlineStr">
        <is>
          <t>HABO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32249-2023</t>
        </is>
      </c>
      <c r="B199" s="1" t="n">
        <v>45120</v>
      </c>
      <c r="C199" s="1" t="n">
        <v>45566</v>
      </c>
      <c r="D199" t="inlineStr">
        <is>
          <t>JÖNKÖPINGS LÄN</t>
        </is>
      </c>
      <c r="E199" t="inlineStr">
        <is>
          <t>HABO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32253-2023</t>
        </is>
      </c>
      <c r="B200" s="1" t="n">
        <v>45120</v>
      </c>
      <c r="C200" s="1" t="n">
        <v>45566</v>
      </c>
      <c r="D200" t="inlineStr">
        <is>
          <t>JÖNKÖPINGS LÄN</t>
        </is>
      </c>
      <c r="E200" t="inlineStr">
        <is>
          <t>HABO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32248-2023</t>
        </is>
      </c>
      <c r="B201" s="1" t="n">
        <v>45120</v>
      </c>
      <c r="C201" s="1" t="n">
        <v>45566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32252-2023</t>
        </is>
      </c>
      <c r="B202" s="1" t="n">
        <v>45120</v>
      </c>
      <c r="C202" s="1" t="n">
        <v>45566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32246-2023</t>
        </is>
      </c>
      <c r="B203" s="1" t="n">
        <v>45120</v>
      </c>
      <c r="C203" s="1" t="n">
        <v>45566</v>
      </c>
      <c r="D203" t="inlineStr">
        <is>
          <t>JÖNKÖPINGS LÄN</t>
        </is>
      </c>
      <c r="E203" t="inlineStr">
        <is>
          <t>HABO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32250-2023</t>
        </is>
      </c>
      <c r="B204" s="1" t="n">
        <v>45120</v>
      </c>
      <c r="C204" s="1" t="n">
        <v>45566</v>
      </c>
      <c r="D204" t="inlineStr">
        <is>
          <t>JÖNKÖPINGS LÄN</t>
        </is>
      </c>
      <c r="E204" t="inlineStr">
        <is>
          <t>HABO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32329-2023</t>
        </is>
      </c>
      <c r="B205" s="1" t="n">
        <v>45120</v>
      </c>
      <c r="C205" s="1" t="n">
        <v>45566</v>
      </c>
      <c r="D205" t="inlineStr">
        <is>
          <t>JÖNKÖPINGS LÄN</t>
        </is>
      </c>
      <c r="E205" t="inlineStr">
        <is>
          <t>HABO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32247-2023</t>
        </is>
      </c>
      <c r="B206" s="1" t="n">
        <v>45120</v>
      </c>
      <c r="C206" s="1" t="n">
        <v>45566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32251-2023</t>
        </is>
      </c>
      <c r="B207" s="1" t="n">
        <v>45120</v>
      </c>
      <c r="C207" s="1" t="n">
        <v>45566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32331-2023</t>
        </is>
      </c>
      <c r="B208" s="1" t="n">
        <v>45120</v>
      </c>
      <c r="C208" s="1" t="n">
        <v>45566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32539-2023</t>
        </is>
      </c>
      <c r="B209" s="1" t="n">
        <v>45121</v>
      </c>
      <c r="C209" s="1" t="n">
        <v>45566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34153-2023</t>
        </is>
      </c>
      <c r="B210" s="1" t="n">
        <v>45137</v>
      </c>
      <c r="C210" s="1" t="n">
        <v>45566</v>
      </c>
      <c r="D210" t="inlineStr">
        <is>
          <t>JÖNKÖPINGS LÄN</t>
        </is>
      </c>
      <c r="E210" t="inlineStr">
        <is>
          <t>HABO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34768-2023</t>
        </is>
      </c>
      <c r="B211" s="1" t="n">
        <v>45141</v>
      </c>
      <c r="C211" s="1" t="n">
        <v>45566</v>
      </c>
      <c r="D211" t="inlineStr">
        <is>
          <t>JÖNKÖPINGS LÄN</t>
        </is>
      </c>
      <c r="E211" t="inlineStr">
        <is>
          <t>HABO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35369-2023</t>
        </is>
      </c>
      <c r="B212" s="1" t="n">
        <v>45146</v>
      </c>
      <c r="C212" s="1" t="n">
        <v>45566</v>
      </c>
      <c r="D212" t="inlineStr">
        <is>
          <t>JÖNKÖPINGS LÄN</t>
        </is>
      </c>
      <c r="E212" t="inlineStr">
        <is>
          <t>HABO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36036-2023</t>
        </is>
      </c>
      <c r="B213" s="1" t="n">
        <v>45149</v>
      </c>
      <c r="C213" s="1" t="n">
        <v>45566</v>
      </c>
      <c r="D213" t="inlineStr">
        <is>
          <t>JÖNKÖPINGS LÄN</t>
        </is>
      </c>
      <c r="E213" t="inlineStr">
        <is>
          <t>HABO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36483-2023</t>
        </is>
      </c>
      <c r="B214" s="1" t="n">
        <v>45152</v>
      </c>
      <c r="C214" s="1" t="n">
        <v>45566</v>
      </c>
      <c r="D214" t="inlineStr">
        <is>
          <t>JÖNKÖPINGS LÄN</t>
        </is>
      </c>
      <c r="E214" t="inlineStr">
        <is>
          <t>HABO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36482-2023</t>
        </is>
      </c>
      <c r="B215" s="1" t="n">
        <v>45152</v>
      </c>
      <c r="C215" s="1" t="n">
        <v>45566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36480-2023</t>
        </is>
      </c>
      <c r="B216" s="1" t="n">
        <v>45152</v>
      </c>
      <c r="C216" s="1" t="n">
        <v>45566</v>
      </c>
      <c r="D216" t="inlineStr">
        <is>
          <t>JÖNKÖPINGS LÄN</t>
        </is>
      </c>
      <c r="E216" t="inlineStr">
        <is>
          <t>HABO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36481-2023</t>
        </is>
      </c>
      <c r="B217" s="1" t="n">
        <v>45152</v>
      </c>
      <c r="C217" s="1" t="n">
        <v>45566</v>
      </c>
      <c r="D217" t="inlineStr">
        <is>
          <t>JÖNKÖPINGS LÄN</t>
        </is>
      </c>
      <c r="E217" t="inlineStr">
        <is>
          <t>HABO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36533-2023</t>
        </is>
      </c>
      <c r="B218" s="1" t="n">
        <v>45153</v>
      </c>
      <c r="C218" s="1" t="n">
        <v>45566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36592-2023</t>
        </is>
      </c>
      <c r="B219" s="1" t="n">
        <v>45153</v>
      </c>
      <c r="C219" s="1" t="n">
        <v>45566</v>
      </c>
      <c r="D219" t="inlineStr">
        <is>
          <t>JÖNKÖPINGS LÄN</t>
        </is>
      </c>
      <c r="E219" t="inlineStr">
        <is>
          <t>HABO</t>
        </is>
      </c>
      <c r="F219" t="inlineStr">
        <is>
          <t>Kommuner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38295-2023</t>
        </is>
      </c>
      <c r="B220" s="1" t="n">
        <v>45161</v>
      </c>
      <c r="C220" s="1" t="n">
        <v>45566</v>
      </c>
      <c r="D220" t="inlineStr">
        <is>
          <t>JÖNKÖPINGS LÄN</t>
        </is>
      </c>
      <c r="E220" t="inlineStr">
        <is>
          <t>HABO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39703-2023</t>
        </is>
      </c>
      <c r="B221" s="1" t="n">
        <v>45167</v>
      </c>
      <c r="C221" s="1" t="n">
        <v>45566</v>
      </c>
      <c r="D221" t="inlineStr">
        <is>
          <t>JÖNKÖPINGS LÄN</t>
        </is>
      </c>
      <c r="E221" t="inlineStr">
        <is>
          <t>HABO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39841-2023</t>
        </is>
      </c>
      <c r="B222" s="1" t="n">
        <v>45168</v>
      </c>
      <c r="C222" s="1" t="n">
        <v>45566</v>
      </c>
      <c r="D222" t="inlineStr">
        <is>
          <t>JÖNKÖPINGS LÄN</t>
        </is>
      </c>
      <c r="E222" t="inlineStr">
        <is>
          <t>HABO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40883-2023</t>
        </is>
      </c>
      <c r="B223" s="1" t="n">
        <v>45173</v>
      </c>
      <c r="C223" s="1" t="n">
        <v>45566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40914-2023</t>
        </is>
      </c>
      <c r="B224" s="1" t="n">
        <v>45173</v>
      </c>
      <c r="C224" s="1" t="n">
        <v>45566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43160-2023</t>
        </is>
      </c>
      <c r="B225" s="1" t="n">
        <v>45183</v>
      </c>
      <c r="C225" s="1" t="n">
        <v>45566</v>
      </c>
      <c r="D225" t="inlineStr">
        <is>
          <t>JÖNKÖPINGS LÄN</t>
        </is>
      </c>
      <c r="E225" t="inlineStr">
        <is>
          <t>HABO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44158-2023</t>
        </is>
      </c>
      <c r="B226" s="1" t="n">
        <v>45188</v>
      </c>
      <c r="C226" s="1" t="n">
        <v>45566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46889-2023</t>
        </is>
      </c>
      <c r="B227" s="1" t="n">
        <v>45201</v>
      </c>
      <c r="C227" s="1" t="n">
        <v>45566</v>
      </c>
      <c r="D227" t="inlineStr">
        <is>
          <t>JÖNKÖPINGS LÄN</t>
        </is>
      </c>
      <c r="E227" t="inlineStr">
        <is>
          <t>HABO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47532-2023</t>
        </is>
      </c>
      <c r="B228" s="1" t="n">
        <v>45203</v>
      </c>
      <c r="C228" s="1" t="n">
        <v>45566</v>
      </c>
      <c r="D228" t="inlineStr">
        <is>
          <t>JÖNKÖPINGS LÄN</t>
        </is>
      </c>
      <c r="E228" t="inlineStr">
        <is>
          <t>HABO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47836-2023</t>
        </is>
      </c>
      <c r="B229" s="1" t="n">
        <v>45204</v>
      </c>
      <c r="C229" s="1" t="n">
        <v>45566</v>
      </c>
      <c r="D229" t="inlineStr">
        <is>
          <t>JÖNKÖPINGS LÄN</t>
        </is>
      </c>
      <c r="E229" t="inlineStr">
        <is>
          <t>HABO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49152-2023</t>
        </is>
      </c>
      <c r="B230" s="1" t="n">
        <v>45210</v>
      </c>
      <c r="C230" s="1" t="n">
        <v>45566</v>
      </c>
      <c r="D230" t="inlineStr">
        <is>
          <t>JÖNKÖPINGS LÄN</t>
        </is>
      </c>
      <c r="E230" t="inlineStr">
        <is>
          <t>HABO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49168-2023</t>
        </is>
      </c>
      <c r="B231" s="1" t="n">
        <v>45210</v>
      </c>
      <c r="C231" s="1" t="n">
        <v>45566</v>
      </c>
      <c r="D231" t="inlineStr">
        <is>
          <t>JÖNKÖPINGS LÄN</t>
        </is>
      </c>
      <c r="E231" t="inlineStr">
        <is>
          <t>HABO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49673-2023</t>
        </is>
      </c>
      <c r="B232" s="1" t="n">
        <v>45212</v>
      </c>
      <c r="C232" s="1" t="n">
        <v>45566</v>
      </c>
      <c r="D232" t="inlineStr">
        <is>
          <t>JÖNKÖPINGS LÄN</t>
        </is>
      </c>
      <c r="E232" t="inlineStr">
        <is>
          <t>HABO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50712-2023</t>
        </is>
      </c>
      <c r="B233" s="1" t="n">
        <v>45217</v>
      </c>
      <c r="C233" s="1" t="n">
        <v>45566</v>
      </c>
      <c r="D233" t="inlineStr">
        <is>
          <t>JÖNKÖPINGS LÄN</t>
        </is>
      </c>
      <c r="E233" t="inlineStr">
        <is>
          <t>HABO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50710-2023</t>
        </is>
      </c>
      <c r="B234" s="1" t="n">
        <v>45217</v>
      </c>
      <c r="C234" s="1" t="n">
        <v>45566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51027-2023</t>
        </is>
      </c>
      <c r="B235" s="1" t="n">
        <v>45218</v>
      </c>
      <c r="C235" s="1" t="n">
        <v>45566</v>
      </c>
      <c r="D235" t="inlineStr">
        <is>
          <t>JÖNKÖPINGS LÄN</t>
        </is>
      </c>
      <c r="E235" t="inlineStr">
        <is>
          <t>HABO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51444-2023</t>
        </is>
      </c>
      <c r="B236" s="1" t="n">
        <v>45220</v>
      </c>
      <c r="C236" s="1" t="n">
        <v>45566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51588-2023</t>
        </is>
      </c>
      <c r="B237" s="1" t="n">
        <v>45222</v>
      </c>
      <c r="C237" s="1" t="n">
        <v>45566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51592-2023</t>
        </is>
      </c>
      <c r="B238" s="1" t="n">
        <v>45222</v>
      </c>
      <c r="C238" s="1" t="n">
        <v>45566</v>
      </c>
      <c r="D238" t="inlineStr">
        <is>
          <t>JÖNKÖPINGS LÄN</t>
        </is>
      </c>
      <c r="E238" t="inlineStr">
        <is>
          <t>HABO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54693-2023</t>
        </is>
      </c>
      <c r="B239" s="1" t="n">
        <v>45236</v>
      </c>
      <c r="C239" s="1" t="n">
        <v>45566</v>
      </c>
      <c r="D239" t="inlineStr">
        <is>
          <t>JÖNKÖPINGS LÄN</t>
        </is>
      </c>
      <c r="E239" t="inlineStr">
        <is>
          <t>HABO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56288-2023</t>
        </is>
      </c>
      <c r="B240" s="1" t="n">
        <v>45242</v>
      </c>
      <c r="C240" s="1" t="n">
        <v>45566</v>
      </c>
      <c r="D240" t="inlineStr">
        <is>
          <t>JÖNKÖPINGS LÄN</t>
        </is>
      </c>
      <c r="E240" t="inlineStr">
        <is>
          <t>HABO</t>
        </is>
      </c>
      <c r="F240" t="inlineStr">
        <is>
          <t>Kyrkan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56289-2023</t>
        </is>
      </c>
      <c r="B241" s="1" t="n">
        <v>45242</v>
      </c>
      <c r="C241" s="1" t="n">
        <v>45566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56290-2023</t>
        </is>
      </c>
      <c r="B242" s="1" t="n">
        <v>45242</v>
      </c>
      <c r="C242" s="1" t="n">
        <v>45566</v>
      </c>
      <c r="D242" t="inlineStr">
        <is>
          <t>JÖNKÖPINGS LÄN</t>
        </is>
      </c>
      <c r="E242" t="inlineStr">
        <is>
          <t>HABO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56333-2023</t>
        </is>
      </c>
      <c r="B243" s="1" t="n">
        <v>45243</v>
      </c>
      <c r="C243" s="1" t="n">
        <v>45566</v>
      </c>
      <c r="D243" t="inlineStr">
        <is>
          <t>JÖNKÖPINGS LÄN</t>
        </is>
      </c>
      <c r="E243" t="inlineStr">
        <is>
          <t>HABO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57422-2023</t>
        </is>
      </c>
      <c r="B244" s="1" t="n">
        <v>45246</v>
      </c>
      <c r="C244" s="1" t="n">
        <v>45566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57755-2023</t>
        </is>
      </c>
      <c r="B245" s="1" t="n">
        <v>45246</v>
      </c>
      <c r="C245" s="1" t="n">
        <v>45566</v>
      </c>
      <c r="D245" t="inlineStr">
        <is>
          <t>JÖNKÖPINGS LÄN</t>
        </is>
      </c>
      <c r="E245" t="inlineStr">
        <is>
          <t>HABO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60227-2023</t>
        </is>
      </c>
      <c r="B246" s="1" t="n">
        <v>45258</v>
      </c>
      <c r="C246" s="1" t="n">
        <v>45566</v>
      </c>
      <c r="D246" t="inlineStr">
        <is>
          <t>JÖNKÖPINGS LÄN</t>
        </is>
      </c>
      <c r="E246" t="inlineStr">
        <is>
          <t>HABO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62742-2023</t>
        </is>
      </c>
      <c r="B247" s="1" t="n">
        <v>45271</v>
      </c>
      <c r="C247" s="1" t="n">
        <v>45566</v>
      </c>
      <c r="D247" t="inlineStr">
        <is>
          <t>JÖNKÖPINGS LÄN</t>
        </is>
      </c>
      <c r="E247" t="inlineStr">
        <is>
          <t>HABO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62764-2023</t>
        </is>
      </c>
      <c r="B248" s="1" t="n">
        <v>45271</v>
      </c>
      <c r="C248" s="1" t="n">
        <v>45566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62745-2023</t>
        </is>
      </c>
      <c r="B249" s="1" t="n">
        <v>45271</v>
      </c>
      <c r="C249" s="1" t="n">
        <v>45566</v>
      </c>
      <c r="D249" t="inlineStr">
        <is>
          <t>JÖNKÖPINGS LÄN</t>
        </is>
      </c>
      <c r="E249" t="inlineStr">
        <is>
          <t>HABO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63418-2023</t>
        </is>
      </c>
      <c r="B250" s="1" t="n">
        <v>45274</v>
      </c>
      <c r="C250" s="1" t="n">
        <v>45566</v>
      </c>
      <c r="D250" t="inlineStr">
        <is>
          <t>JÖNKÖPINGS LÄN</t>
        </is>
      </c>
      <c r="E250" t="inlineStr">
        <is>
          <t>HABO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63599-2023</t>
        </is>
      </c>
      <c r="B251" s="1" t="n">
        <v>45275</v>
      </c>
      <c r="C251" s="1" t="n">
        <v>45566</v>
      </c>
      <c r="D251" t="inlineStr">
        <is>
          <t>JÖNKÖPINGS LÄN</t>
        </is>
      </c>
      <c r="E251" t="inlineStr">
        <is>
          <t>HABO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63922-2023</t>
        </is>
      </c>
      <c r="B252" s="1" t="n">
        <v>45278</v>
      </c>
      <c r="C252" s="1" t="n">
        <v>45566</v>
      </c>
      <c r="D252" t="inlineStr">
        <is>
          <t>JÖNKÖPINGS LÄN</t>
        </is>
      </c>
      <c r="E252" t="inlineStr">
        <is>
          <t>HABO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65067-2023</t>
        </is>
      </c>
      <c r="B253" s="1" t="n">
        <v>45287</v>
      </c>
      <c r="C253" s="1" t="n">
        <v>45566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476-2024</t>
        </is>
      </c>
      <c r="B254" s="1" t="n">
        <v>45297</v>
      </c>
      <c r="C254" s="1" t="n">
        <v>45566</v>
      </c>
      <c r="D254" t="inlineStr">
        <is>
          <t>JÖNKÖPINGS LÄN</t>
        </is>
      </c>
      <c r="E254" t="inlineStr">
        <is>
          <t>HABO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778-2024</t>
        </is>
      </c>
      <c r="B255" s="1" t="n">
        <v>45300</v>
      </c>
      <c r="C255" s="1" t="n">
        <v>45566</v>
      </c>
      <c r="D255" t="inlineStr">
        <is>
          <t>JÖNKÖPINGS LÄN</t>
        </is>
      </c>
      <c r="E255" t="inlineStr">
        <is>
          <t>HABO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1539-2024</t>
        </is>
      </c>
      <c r="B256" s="1" t="n">
        <v>45306</v>
      </c>
      <c r="C256" s="1" t="n">
        <v>45566</v>
      </c>
      <c r="D256" t="inlineStr">
        <is>
          <t>JÖNKÖPINGS LÄN</t>
        </is>
      </c>
      <c r="E256" t="inlineStr">
        <is>
          <t>HABO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1542-2024</t>
        </is>
      </c>
      <c r="B257" s="1" t="n">
        <v>45306</v>
      </c>
      <c r="C257" s="1" t="n">
        <v>45566</v>
      </c>
      <c r="D257" t="inlineStr">
        <is>
          <t>JÖNKÖPINGS LÄN</t>
        </is>
      </c>
      <c r="E257" t="inlineStr">
        <is>
          <t>HABO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1699-2024</t>
        </is>
      </c>
      <c r="B258" s="1" t="n">
        <v>45307</v>
      </c>
      <c r="C258" s="1" t="n">
        <v>45566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2374-2024</t>
        </is>
      </c>
      <c r="B259" s="1" t="n">
        <v>45310</v>
      </c>
      <c r="C259" s="1" t="n">
        <v>45566</v>
      </c>
      <c r="D259" t="inlineStr">
        <is>
          <t>JÖNKÖPINGS LÄN</t>
        </is>
      </c>
      <c r="E259" t="inlineStr">
        <is>
          <t>HABO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3077-2024</t>
        </is>
      </c>
      <c r="B260" s="1" t="n">
        <v>45316</v>
      </c>
      <c r="C260" s="1" t="n">
        <v>45566</v>
      </c>
      <c r="D260" t="inlineStr">
        <is>
          <t>JÖNKÖPINGS LÄN</t>
        </is>
      </c>
      <c r="E260" t="inlineStr">
        <is>
          <t>HABO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3913-2024</t>
        </is>
      </c>
      <c r="B261" s="1" t="n">
        <v>45322</v>
      </c>
      <c r="C261" s="1" t="n">
        <v>45566</v>
      </c>
      <c r="D261" t="inlineStr">
        <is>
          <t>JÖNKÖPINGS LÄN</t>
        </is>
      </c>
      <c r="E261" t="inlineStr">
        <is>
          <t>HABO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3969-2024</t>
        </is>
      </c>
      <c r="B262" s="1" t="n">
        <v>45322</v>
      </c>
      <c r="C262" s="1" t="n">
        <v>45566</v>
      </c>
      <c r="D262" t="inlineStr">
        <is>
          <t>JÖNKÖPINGS LÄN</t>
        </is>
      </c>
      <c r="E262" t="inlineStr">
        <is>
          <t>HABO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4836-2024</t>
        </is>
      </c>
      <c r="B263" s="1" t="n">
        <v>45329</v>
      </c>
      <c r="C263" s="1" t="n">
        <v>45566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4837-2024</t>
        </is>
      </c>
      <c r="B264" s="1" t="n">
        <v>45329</v>
      </c>
      <c r="C264" s="1" t="n">
        <v>45566</v>
      </c>
      <c r="D264" t="inlineStr">
        <is>
          <t>JÖNKÖPINGS LÄN</t>
        </is>
      </c>
      <c r="E264" t="inlineStr">
        <is>
          <t>HABO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8849-2024</t>
        </is>
      </c>
      <c r="B265" s="1" t="n">
        <v>45356</v>
      </c>
      <c r="C265" s="1" t="n">
        <v>45566</v>
      </c>
      <c r="D265" t="inlineStr">
        <is>
          <t>JÖNKÖPINGS LÄN</t>
        </is>
      </c>
      <c r="E265" t="inlineStr">
        <is>
          <t>HABO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9931-2024</t>
        </is>
      </c>
      <c r="B266" s="1" t="n">
        <v>45363</v>
      </c>
      <c r="C266" s="1" t="n">
        <v>45566</v>
      </c>
      <c r="D266" t="inlineStr">
        <is>
          <t>JÖNKÖPINGS LÄN</t>
        </is>
      </c>
      <c r="E266" t="inlineStr">
        <is>
          <t>HABO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10167-2024</t>
        </is>
      </c>
      <c r="B267" s="1" t="n">
        <v>45364</v>
      </c>
      <c r="C267" s="1" t="n">
        <v>45566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11426-2024</t>
        </is>
      </c>
      <c r="B268" s="1" t="n">
        <v>45372</v>
      </c>
      <c r="C268" s="1" t="n">
        <v>45566</v>
      </c>
      <c r="D268" t="inlineStr">
        <is>
          <t>JÖNKÖPINGS LÄN</t>
        </is>
      </c>
      <c r="E268" t="inlineStr">
        <is>
          <t>HABO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13850-2024</t>
        </is>
      </c>
      <c r="B269" s="1" t="n">
        <v>45390</v>
      </c>
      <c r="C269" s="1" t="n">
        <v>45566</v>
      </c>
      <c r="D269" t="inlineStr">
        <is>
          <t>JÖNKÖPINGS LÄN</t>
        </is>
      </c>
      <c r="E269" t="inlineStr">
        <is>
          <t>HABO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14724-2024</t>
        </is>
      </c>
      <c r="B270" s="1" t="n">
        <v>45397</v>
      </c>
      <c r="C270" s="1" t="n">
        <v>45566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15238-2024</t>
        </is>
      </c>
      <c r="B271" s="1" t="n">
        <v>45400</v>
      </c>
      <c r="C271" s="1" t="n">
        <v>45566</v>
      </c>
      <c r="D271" t="inlineStr">
        <is>
          <t>JÖNKÖPINGS LÄN</t>
        </is>
      </c>
      <c r="E271" t="inlineStr">
        <is>
          <t>HABO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15234-2024</t>
        </is>
      </c>
      <c r="B272" s="1" t="n">
        <v>45400</v>
      </c>
      <c r="C272" s="1" t="n">
        <v>45566</v>
      </c>
      <c r="D272" t="inlineStr">
        <is>
          <t>JÖNKÖPINGS LÄN</t>
        </is>
      </c>
      <c r="E272" t="inlineStr">
        <is>
          <t>HABO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15251-2024</t>
        </is>
      </c>
      <c r="B273" s="1" t="n">
        <v>45400</v>
      </c>
      <c r="C273" s="1" t="n">
        <v>45566</v>
      </c>
      <c r="D273" t="inlineStr">
        <is>
          <t>JÖNKÖPINGS LÄN</t>
        </is>
      </c>
      <c r="E273" t="inlineStr">
        <is>
          <t>HABO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15252-2024</t>
        </is>
      </c>
      <c r="B274" s="1" t="n">
        <v>45400</v>
      </c>
      <c r="C274" s="1" t="n">
        <v>45566</v>
      </c>
      <c r="D274" t="inlineStr">
        <is>
          <t>JÖNKÖPINGS LÄN</t>
        </is>
      </c>
      <c r="E274" t="inlineStr">
        <is>
          <t>HABO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15272-2024</t>
        </is>
      </c>
      <c r="B275" s="1" t="n">
        <v>45400</v>
      </c>
      <c r="C275" s="1" t="n">
        <v>45566</v>
      </c>
      <c r="D275" t="inlineStr">
        <is>
          <t>JÖNKÖPINGS LÄN</t>
        </is>
      </c>
      <c r="E275" t="inlineStr">
        <is>
          <t>HABO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15901-2024</t>
        </is>
      </c>
      <c r="B276" s="1" t="n">
        <v>45405</v>
      </c>
      <c r="C276" s="1" t="n">
        <v>45566</v>
      </c>
      <c r="D276" t="inlineStr">
        <is>
          <t>JÖNKÖPINGS LÄN</t>
        </is>
      </c>
      <c r="E276" t="inlineStr">
        <is>
          <t>HABO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16108-2024</t>
        </is>
      </c>
      <c r="B277" s="1" t="n">
        <v>45406</v>
      </c>
      <c r="C277" s="1" t="n">
        <v>45566</v>
      </c>
      <c r="D277" t="inlineStr">
        <is>
          <t>JÖNKÖPINGS LÄN</t>
        </is>
      </c>
      <c r="E277" t="inlineStr">
        <is>
          <t>HABO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17845-2024</t>
        </is>
      </c>
      <c r="B278" s="1" t="n">
        <v>45419</v>
      </c>
      <c r="C278" s="1" t="n">
        <v>45566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19366-2024</t>
        </is>
      </c>
      <c r="B279" s="1" t="n">
        <v>45429</v>
      </c>
      <c r="C279" s="1" t="n">
        <v>45566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19370-2024</t>
        </is>
      </c>
      <c r="B280" s="1" t="n">
        <v>45429</v>
      </c>
      <c r="C280" s="1" t="n">
        <v>45566</v>
      </c>
      <c r="D280" t="inlineStr">
        <is>
          <t>JÖNKÖPINGS LÄN</t>
        </is>
      </c>
      <c r="E280" t="inlineStr">
        <is>
          <t>HABO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21301-2024</t>
        </is>
      </c>
      <c r="B281" s="1" t="n">
        <v>45440</v>
      </c>
      <c r="C281" s="1" t="n">
        <v>45566</v>
      </c>
      <c r="D281" t="inlineStr">
        <is>
          <t>JÖNKÖPINGS LÄN</t>
        </is>
      </c>
      <c r="E281" t="inlineStr">
        <is>
          <t>HABO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23145-2024</t>
        </is>
      </c>
      <c r="B282" s="1" t="n">
        <v>45450</v>
      </c>
      <c r="C282" s="1" t="n">
        <v>45566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23153-2024</t>
        </is>
      </c>
      <c r="B283" s="1" t="n">
        <v>45450</v>
      </c>
      <c r="C283" s="1" t="n">
        <v>45566</v>
      </c>
      <c r="D283" t="inlineStr">
        <is>
          <t>JÖNKÖPINGS LÄN</t>
        </is>
      </c>
      <c r="E283" t="inlineStr">
        <is>
          <t>HABO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23148-2024</t>
        </is>
      </c>
      <c r="B284" s="1" t="n">
        <v>45450</v>
      </c>
      <c r="C284" s="1" t="n">
        <v>45566</v>
      </c>
      <c r="D284" t="inlineStr">
        <is>
          <t>JÖNKÖPINGS LÄN</t>
        </is>
      </c>
      <c r="E284" t="inlineStr">
        <is>
          <t>HABO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23152-2024</t>
        </is>
      </c>
      <c r="B285" s="1" t="n">
        <v>45450</v>
      </c>
      <c r="C285" s="1" t="n">
        <v>45566</v>
      </c>
      <c r="D285" t="inlineStr">
        <is>
          <t>JÖNKÖPINGS LÄN</t>
        </is>
      </c>
      <c r="E285" t="inlineStr">
        <is>
          <t>HABO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23156-2024</t>
        </is>
      </c>
      <c r="B286" s="1" t="n">
        <v>45450</v>
      </c>
      <c r="C286" s="1" t="n">
        <v>45566</v>
      </c>
      <c r="D286" t="inlineStr">
        <is>
          <t>JÖNKÖPINGS LÄN</t>
        </is>
      </c>
      <c r="E286" t="inlineStr">
        <is>
          <t>HABO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23143-2024</t>
        </is>
      </c>
      <c r="B287" s="1" t="n">
        <v>45450</v>
      </c>
      <c r="C287" s="1" t="n">
        <v>45566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24496-2024</t>
        </is>
      </c>
      <c r="B288" s="1" t="n">
        <v>45459</v>
      </c>
      <c r="C288" s="1" t="n">
        <v>45566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24495-2024</t>
        </is>
      </c>
      <c r="B289" s="1" t="n">
        <v>45459</v>
      </c>
      <c r="C289" s="1" t="n">
        <v>45566</v>
      </c>
      <c r="D289" t="inlineStr">
        <is>
          <t>JÖNKÖPINGS LÄN</t>
        </is>
      </c>
      <c r="E289" t="inlineStr">
        <is>
          <t>HABO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25954-2024</t>
        </is>
      </c>
      <c r="B290" s="1" t="n">
        <v>45467</v>
      </c>
      <c r="C290" s="1" t="n">
        <v>45566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26275-2024</t>
        </is>
      </c>
      <c r="B291" s="1" t="n">
        <v>45468</v>
      </c>
      <c r="C291" s="1" t="n">
        <v>45566</v>
      </c>
      <c r="D291" t="inlineStr">
        <is>
          <t>JÖNKÖPINGS LÄN</t>
        </is>
      </c>
      <c r="E291" t="inlineStr">
        <is>
          <t>HABO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26329-2024</t>
        </is>
      </c>
      <c r="B292" s="1" t="n">
        <v>45469</v>
      </c>
      <c r="C292" s="1" t="n">
        <v>45566</v>
      </c>
      <c r="D292" t="inlineStr">
        <is>
          <t>JÖNKÖPINGS LÄN</t>
        </is>
      </c>
      <c r="E292" t="inlineStr">
        <is>
          <t>HABO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26569-2024</t>
        </is>
      </c>
      <c r="B293" s="1" t="n">
        <v>45469</v>
      </c>
      <c r="C293" s="1" t="n">
        <v>45566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26778-2024</t>
        </is>
      </c>
      <c r="B294" s="1" t="n">
        <v>45469</v>
      </c>
      <c r="C294" s="1" t="n">
        <v>45566</v>
      </c>
      <c r="D294" t="inlineStr">
        <is>
          <t>JÖNKÖPINGS LÄN</t>
        </is>
      </c>
      <c r="E294" t="inlineStr">
        <is>
          <t>HABO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26774-2024</t>
        </is>
      </c>
      <c r="B295" s="1" t="n">
        <v>45469</v>
      </c>
      <c r="C295" s="1" t="n">
        <v>45566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26769-2024</t>
        </is>
      </c>
      <c r="B296" s="1" t="n">
        <v>45469</v>
      </c>
      <c r="C296" s="1" t="n">
        <v>45566</v>
      </c>
      <c r="D296" t="inlineStr">
        <is>
          <t>JÖNKÖPINGS LÄN</t>
        </is>
      </c>
      <c r="E296" t="inlineStr">
        <is>
          <t>HABO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26572-2024</t>
        </is>
      </c>
      <c r="B297" s="1" t="n">
        <v>45469</v>
      </c>
      <c r="C297" s="1" t="n">
        <v>45566</v>
      </c>
      <c r="D297" t="inlineStr">
        <is>
          <t>JÖNKÖPINGS LÄN</t>
        </is>
      </c>
      <c r="E297" t="inlineStr">
        <is>
          <t>HABO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26766-2024</t>
        </is>
      </c>
      <c r="B298" s="1" t="n">
        <v>45469</v>
      </c>
      <c r="C298" s="1" t="n">
        <v>45566</v>
      </c>
      <c r="D298" t="inlineStr">
        <is>
          <t>JÖNKÖPINGS LÄN</t>
        </is>
      </c>
      <c r="E298" t="inlineStr">
        <is>
          <t>HABO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26711-2024</t>
        </is>
      </c>
      <c r="B299" s="1" t="n">
        <v>45470</v>
      </c>
      <c r="C299" s="1" t="n">
        <v>45566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27196-2024</t>
        </is>
      </c>
      <c r="B300" s="1" t="n">
        <v>45471</v>
      </c>
      <c r="C300" s="1" t="n">
        <v>45566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27385-2024</t>
        </is>
      </c>
      <c r="B301" s="1" t="n">
        <v>45474</v>
      </c>
      <c r="C301" s="1" t="n">
        <v>45566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27386-2024</t>
        </is>
      </c>
      <c r="B302" s="1" t="n">
        <v>45474</v>
      </c>
      <c r="C302" s="1" t="n">
        <v>45566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27794-2024</t>
        </is>
      </c>
      <c r="B303" s="1" t="n">
        <v>45475</v>
      </c>
      <c r="C303" s="1" t="n">
        <v>45566</v>
      </c>
      <c r="D303" t="inlineStr">
        <is>
          <t>JÖNKÖPINGS LÄN</t>
        </is>
      </c>
      <c r="E303" t="inlineStr">
        <is>
          <t>HABO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27796-2024</t>
        </is>
      </c>
      <c r="B304" s="1" t="n">
        <v>45475</v>
      </c>
      <c r="C304" s="1" t="n">
        <v>45566</v>
      </c>
      <c r="D304" t="inlineStr">
        <is>
          <t>JÖNKÖPINGS LÄN</t>
        </is>
      </c>
      <c r="E304" t="inlineStr">
        <is>
          <t>HABO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27791-2024</t>
        </is>
      </c>
      <c r="B305" s="1" t="n">
        <v>45475</v>
      </c>
      <c r="C305" s="1" t="n">
        <v>45566</v>
      </c>
      <c r="D305" t="inlineStr">
        <is>
          <t>JÖNKÖPINGS LÄN</t>
        </is>
      </c>
      <c r="E305" t="inlineStr">
        <is>
          <t>HABO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27795-2024</t>
        </is>
      </c>
      <c r="B306" s="1" t="n">
        <v>45475</v>
      </c>
      <c r="C306" s="1" t="n">
        <v>45566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28096-2024</t>
        </is>
      </c>
      <c r="B307" s="1" t="n">
        <v>45476</v>
      </c>
      <c r="C307" s="1" t="n">
        <v>45566</v>
      </c>
      <c r="D307" t="inlineStr">
        <is>
          <t>JÖNKÖPINGS LÄN</t>
        </is>
      </c>
      <c r="E307" t="inlineStr">
        <is>
          <t>HABO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28685-2024</t>
        </is>
      </c>
      <c r="B308" s="1" t="n">
        <v>45478</v>
      </c>
      <c r="C308" s="1" t="n">
        <v>45566</v>
      </c>
      <c r="D308" t="inlineStr">
        <is>
          <t>JÖNKÖPINGS LÄN</t>
        </is>
      </c>
      <c r="E308" t="inlineStr">
        <is>
          <t>HABO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28690-2024</t>
        </is>
      </c>
      <c r="B309" s="1" t="n">
        <v>45478</v>
      </c>
      <c r="C309" s="1" t="n">
        <v>45566</v>
      </c>
      <c r="D309" t="inlineStr">
        <is>
          <t>JÖNKÖPINGS LÄN</t>
        </is>
      </c>
      <c r="E309" t="inlineStr">
        <is>
          <t>HABO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31909-2024</t>
        </is>
      </c>
      <c r="B310" s="1" t="n">
        <v>45510</v>
      </c>
      <c r="C310" s="1" t="n">
        <v>45566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32895-2024</t>
        </is>
      </c>
      <c r="B311" s="1" t="n">
        <v>45516</v>
      </c>
      <c r="C311" s="1" t="n">
        <v>45566</v>
      </c>
      <c r="D311" t="inlineStr">
        <is>
          <t>JÖNKÖPINGS LÄN</t>
        </is>
      </c>
      <c r="E311" t="inlineStr">
        <is>
          <t>HABO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37802-2024</t>
        </is>
      </c>
      <c r="B312" s="1" t="n">
        <v>45543</v>
      </c>
      <c r="C312" s="1" t="n">
        <v>45566</v>
      </c>
      <c r="D312" t="inlineStr">
        <is>
          <t>JÖNKÖPINGS LÄN</t>
        </is>
      </c>
      <c r="E312" t="inlineStr">
        <is>
          <t>HABO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45566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39774-2024</t>
        </is>
      </c>
      <c r="B314" s="1" t="n">
        <v>45552</v>
      </c>
      <c r="C314" s="1" t="n">
        <v>45566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40285-2024</t>
        </is>
      </c>
      <c r="B315" s="1" t="n">
        <v>45554</v>
      </c>
      <c r="C315" s="1" t="n">
        <v>45566</v>
      </c>
      <c r="D315" t="inlineStr">
        <is>
          <t>JÖNKÖPINGS LÄN</t>
        </is>
      </c>
      <c r="E315" t="inlineStr">
        <is>
          <t>HABO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45566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40438-2024</t>
        </is>
      </c>
      <c r="B317" s="1" t="n">
        <v>45555</v>
      </c>
      <c r="C317" s="1" t="n">
        <v>45566</v>
      </c>
      <c r="D317" t="inlineStr">
        <is>
          <t>JÖNKÖPINGS LÄN</t>
        </is>
      </c>
      <c r="E317" t="inlineStr">
        <is>
          <t>HABO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45566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40688-2024</t>
        </is>
      </c>
      <c r="B319" s="1" t="n">
        <v>45558</v>
      </c>
      <c r="C319" s="1" t="n">
        <v>45566</v>
      </c>
      <c r="D319" t="inlineStr">
        <is>
          <t>JÖNKÖPINGS LÄN</t>
        </is>
      </c>
      <c r="E319" t="inlineStr">
        <is>
          <t>HABO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45566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41622-2024</t>
        </is>
      </c>
      <c r="B321" s="1" t="n">
        <v>45560</v>
      </c>
      <c r="C321" s="1" t="n">
        <v>45566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2024-10-01T12:19:54Z</dcterms:created>
  <dcterms:modified xmlns:dcterms="http://purl.org/dc/terms/" xmlns:xsi="http://www.w3.org/2001/XMLSchema-instance" xsi:type="dcterms:W3CDTF">2024-10-01T12:19:55Z</dcterms:modified>
</cp:coreProperties>
</file>