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45785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45785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45785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45785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45785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45785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45785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45785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45785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45785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45785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45785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45785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45785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45785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45785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45785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45785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45785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45785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45785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45785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56290-2023</t>
        </is>
      </c>
      <c r="B25" s="1" t="n">
        <v>45242</v>
      </c>
      <c r="C25" s="1" t="n">
        <v>45785</v>
      </c>
      <c r="D25" t="inlineStr">
        <is>
          <t>JÖNKÖPINGS LÄN</t>
        </is>
      </c>
      <c r="E25" t="inlineStr">
        <is>
          <t>HABO</t>
        </is>
      </c>
      <c r="G25" t="n">
        <v>13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Drillsnäppa</t>
        </is>
      </c>
      <c r="S25">
        <f>HYPERLINK("https://klasma.github.io/Logging_0643/artfynd/A 56290-2023 artfynd.xlsx", "A 56290-2023")</f>
        <v/>
      </c>
      <c r="T25">
        <f>HYPERLINK("https://klasma.github.io/Logging_0643/kartor/A 56290-2023 karta.png", "A 56290-2023")</f>
        <v/>
      </c>
      <c r="V25">
        <f>HYPERLINK("https://klasma.github.io/Logging_0643/klagomål/A 56290-2023 FSC-klagomål.docx", "A 56290-2023")</f>
        <v/>
      </c>
      <c r="W25">
        <f>HYPERLINK("https://klasma.github.io/Logging_0643/klagomålsmail/A 56290-2023 FSC-klagomål mail.docx", "A 56290-2023")</f>
        <v/>
      </c>
      <c r="X25">
        <f>HYPERLINK("https://klasma.github.io/Logging_0643/tillsyn/A 56290-2023 tillsynsbegäran.docx", "A 56290-2023")</f>
        <v/>
      </c>
      <c r="Y25">
        <f>HYPERLINK("https://klasma.github.io/Logging_0643/tillsynsmail/A 56290-2023 tillsynsbegäran mail.docx", "A 56290-2023")</f>
        <v/>
      </c>
    </row>
    <row r="26" ht="15" customHeight="1">
      <c r="A26" t="inlineStr">
        <is>
          <t>A 36227-2024</t>
        </is>
      </c>
      <c r="B26" s="1" t="n">
        <v>45534</v>
      </c>
      <c r="C26" s="1" t="n">
        <v>45785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6.7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36227-2024 artfynd.xlsx", "A 36227-2024")</f>
        <v/>
      </c>
      <c r="T26">
        <f>HYPERLINK("https://klasma.github.io/Logging_0643/kartor/A 36227-2024 karta.png", "A 36227-2024")</f>
        <v/>
      </c>
      <c r="V26">
        <f>HYPERLINK("https://klasma.github.io/Logging_0643/klagomål/A 36227-2024 FSC-klagomål.docx", "A 36227-2024")</f>
        <v/>
      </c>
      <c r="W26">
        <f>HYPERLINK("https://klasma.github.io/Logging_0643/klagomålsmail/A 36227-2024 FSC-klagomål mail.docx", "A 36227-2024")</f>
        <v/>
      </c>
      <c r="X26">
        <f>HYPERLINK("https://klasma.github.io/Logging_0643/tillsyn/A 36227-2024 tillsynsbegäran.docx", "A 36227-2024")</f>
        <v/>
      </c>
      <c r="Y26">
        <f>HYPERLINK("https://klasma.github.io/Logging_0643/tillsynsmail/A 36227-2024 tillsynsbegäran mail.docx", "A 36227-2024")</f>
        <v/>
      </c>
    </row>
    <row r="27" ht="15" customHeight="1">
      <c r="A27" t="inlineStr">
        <is>
          <t>A 49866-2024</t>
        </is>
      </c>
      <c r="B27" s="1" t="n">
        <v>45597</v>
      </c>
      <c r="C27" s="1" t="n">
        <v>45785</v>
      </c>
      <c r="D27" t="inlineStr">
        <is>
          <t>JÖNKÖPINGS LÄN</t>
        </is>
      </c>
      <c r="E27" t="inlineStr">
        <is>
          <t>HABO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HYPERLINK("https://klasma.github.io/Logging_0643/artfynd/A 49866-2024 artfynd.xlsx", "A 49866-2024")</f>
        <v/>
      </c>
      <c r="T27">
        <f>HYPERLINK("https://klasma.github.io/Logging_0643/kartor/A 49866-2024 karta.png", "A 49866-2024")</f>
        <v/>
      </c>
      <c r="V27">
        <f>HYPERLINK("https://klasma.github.io/Logging_0643/klagomål/A 49866-2024 FSC-klagomål.docx", "A 49866-2024")</f>
        <v/>
      </c>
      <c r="W27">
        <f>HYPERLINK("https://klasma.github.io/Logging_0643/klagomålsmail/A 49866-2024 FSC-klagomål mail.docx", "A 49866-2024")</f>
        <v/>
      </c>
      <c r="X27">
        <f>HYPERLINK("https://klasma.github.io/Logging_0643/tillsyn/A 49866-2024 tillsynsbegäran.docx", "A 49866-2024")</f>
        <v/>
      </c>
      <c r="Y27">
        <f>HYPERLINK("https://klasma.github.io/Logging_0643/tillsynsmail/A 49866-2024 tillsynsbegäran mail.docx", "A 49866-2024")</f>
        <v/>
      </c>
    </row>
    <row r="28" ht="15" customHeight="1">
      <c r="A28" t="inlineStr">
        <is>
          <t>A 58644-2024</t>
        </is>
      </c>
      <c r="B28" s="1" t="n">
        <v>45635</v>
      </c>
      <c r="C28" s="1" t="n">
        <v>45785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58644-2024 artfynd.xlsx", "A 58644-2024")</f>
        <v/>
      </c>
      <c r="T28">
        <f>HYPERLINK("https://klasma.github.io/Logging_0643/kartor/A 58644-2024 karta.png", "A 58644-2024")</f>
        <v/>
      </c>
      <c r="V28">
        <f>HYPERLINK("https://klasma.github.io/Logging_0643/klagomål/A 58644-2024 FSC-klagomål.docx", "A 58644-2024")</f>
        <v/>
      </c>
      <c r="W28">
        <f>HYPERLINK("https://klasma.github.io/Logging_0643/klagomålsmail/A 58644-2024 FSC-klagomål mail.docx", "A 58644-2024")</f>
        <v/>
      </c>
      <c r="X28">
        <f>HYPERLINK("https://klasma.github.io/Logging_0643/tillsyn/A 58644-2024 tillsynsbegäran.docx", "A 58644-2024")</f>
        <v/>
      </c>
      <c r="Y28">
        <f>HYPERLINK("https://klasma.github.io/Logging_0643/tillsynsmail/A 58644-2024 tillsynsbegäran mail.docx", "A 58644-2024")</f>
        <v/>
      </c>
    </row>
    <row r="29" ht="15" customHeight="1">
      <c r="A29" t="inlineStr">
        <is>
          <t>A 2545-2025</t>
        </is>
      </c>
      <c r="B29" s="1" t="n">
        <v>45674</v>
      </c>
      <c r="C29" s="1" t="n">
        <v>45785</v>
      </c>
      <c r="D29" t="inlineStr">
        <is>
          <t>JÖNKÖPINGS LÄN</t>
        </is>
      </c>
      <c r="E29" t="inlineStr">
        <is>
          <t>HABO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2545-2025 artfynd.xlsx", "A 2545-2025")</f>
        <v/>
      </c>
      <c r="T29">
        <f>HYPERLINK("https://klasma.github.io/Logging_0643/kartor/A 2545-2025 karta.png", "A 2545-2025")</f>
        <v/>
      </c>
      <c r="V29">
        <f>HYPERLINK("https://klasma.github.io/Logging_0643/klagomål/A 2545-2025 FSC-klagomål.docx", "A 2545-2025")</f>
        <v/>
      </c>
      <c r="W29">
        <f>HYPERLINK("https://klasma.github.io/Logging_0643/klagomålsmail/A 2545-2025 FSC-klagomål mail.docx", "A 2545-2025")</f>
        <v/>
      </c>
      <c r="X29">
        <f>HYPERLINK("https://klasma.github.io/Logging_0643/tillsyn/A 2545-2025 tillsynsbegäran.docx", "A 2545-2025")</f>
        <v/>
      </c>
      <c r="Y29">
        <f>HYPERLINK("https://klasma.github.io/Logging_0643/tillsynsmail/A 2545-2025 tillsynsbegäran mail.docx", "A 2545-2025")</f>
        <v/>
      </c>
    </row>
    <row r="30" ht="15" customHeight="1">
      <c r="A30" t="inlineStr">
        <is>
          <t>A 14704-2025</t>
        </is>
      </c>
      <c r="B30" s="1" t="n">
        <v>45742</v>
      </c>
      <c r="C30" s="1" t="n">
        <v>45785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HYPERLINK("https://klasma.github.io/Logging_060643/artfynd/A 14704-2025 artfynd.xlsx", "A 14704-2025")</f>
        <v/>
      </c>
      <c r="T30">
        <f>HYPERLINK("https://klasma.github.io/Logging_060643/kartor/A 14704-2025 karta.png", "A 14704-2025")</f>
        <v/>
      </c>
      <c r="V30">
        <f>HYPERLINK("https://klasma.github.io/Logging_060643/klagomål/A 14704-2025 FSC-klagomål.docx", "A 14704-2025")</f>
        <v/>
      </c>
      <c r="W30">
        <f>HYPERLINK("https://klasma.github.io/Logging_060643/klagomålsmail/A 14704-2025 FSC-klagomål mail.docx", "A 14704-2025")</f>
        <v/>
      </c>
      <c r="X30">
        <f>HYPERLINK("https://klasma.github.io/Logging_060643/tillsyn/A 14704-2025 tillsynsbegäran.docx", "A 14704-2025")</f>
        <v/>
      </c>
      <c r="Y30">
        <f>HYPERLINK("https://klasma.github.io/Logging_060643/tillsynsmail/A 14704-2025 tillsynsbegäran mail.docx", "A 14704-2025")</f>
        <v/>
      </c>
    </row>
    <row r="31" ht="15" customHeight="1">
      <c r="A31" t="inlineStr">
        <is>
          <t>A 14713-2025</t>
        </is>
      </c>
      <c r="B31" s="1" t="n">
        <v>45742</v>
      </c>
      <c r="C31" s="1" t="n">
        <v>45785</v>
      </c>
      <c r="D31" t="inlineStr">
        <is>
          <t>JÖNKÖPINGS LÄN</t>
        </is>
      </c>
      <c r="E31" t="inlineStr">
        <is>
          <t>HABO</t>
        </is>
      </c>
      <c r="G31" t="n">
        <v>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Mellanlummer</t>
        </is>
      </c>
      <c r="S31">
        <f>HYPERLINK("https://klasma.github.io/Logging_060643/artfynd/A 14713-2025 artfynd.xlsx", "A 14713-2025")</f>
        <v/>
      </c>
      <c r="T31">
        <f>HYPERLINK("https://klasma.github.io/Logging_060643/kartor/A 14713-2025 karta.png", "A 14713-2025")</f>
        <v/>
      </c>
      <c r="V31">
        <f>HYPERLINK("https://klasma.github.io/Logging_060643/klagomål/A 14713-2025 FSC-klagomål.docx", "A 14713-2025")</f>
        <v/>
      </c>
      <c r="W31">
        <f>HYPERLINK("https://klasma.github.io/Logging_060643/klagomålsmail/A 14713-2025 FSC-klagomål mail.docx", "A 14713-2025")</f>
        <v/>
      </c>
      <c r="X31">
        <f>HYPERLINK("https://klasma.github.io/Logging_060643/tillsyn/A 14713-2025 tillsynsbegäran.docx", "A 14713-2025")</f>
        <v/>
      </c>
      <c r="Y31">
        <f>HYPERLINK("https://klasma.github.io/Logging_060643/tillsynsmail/A 14713-2025 tillsynsbegäran mail.docx", "A 14713-2025")</f>
        <v/>
      </c>
    </row>
    <row r="32" ht="15" customHeight="1">
      <c r="A32" t="inlineStr">
        <is>
          <t>A 19279-2019</t>
        </is>
      </c>
      <c r="B32" s="1" t="n">
        <v>43565</v>
      </c>
      <c r="C32" s="1" t="n">
        <v>45785</v>
      </c>
      <c r="D32" t="inlineStr">
        <is>
          <t>JÖNKÖPINGS LÄN</t>
        </is>
      </c>
      <c r="E32" t="inlineStr">
        <is>
          <t>HABO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20147-2019</t>
        </is>
      </c>
      <c r="B33" s="1" t="n">
        <v>43570</v>
      </c>
      <c r="C33" s="1" t="n">
        <v>45785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29504-2019</t>
        </is>
      </c>
      <c r="B34" s="1" t="n">
        <v>43627</v>
      </c>
      <c r="C34" s="1" t="n">
        <v>45785</v>
      </c>
      <c r="D34" t="inlineStr">
        <is>
          <t>JÖNKÖPINGS LÄN</t>
        </is>
      </c>
      <c r="E34" t="inlineStr">
        <is>
          <t>HABO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31123-2019</t>
        </is>
      </c>
      <c r="B35" s="1" t="n">
        <v>43640</v>
      </c>
      <c r="C35" s="1" t="n">
        <v>45785</v>
      </c>
      <c r="D35" t="inlineStr">
        <is>
          <t>JÖNKÖPINGS LÄN</t>
        </is>
      </c>
      <c r="E35" t="inlineStr">
        <is>
          <t>HABO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34068-2019</t>
        </is>
      </c>
      <c r="B36" s="1" t="n">
        <v>43654</v>
      </c>
      <c r="C36" s="1" t="n">
        <v>45785</v>
      </c>
      <c r="D36" t="inlineStr">
        <is>
          <t>JÖNKÖPINGS LÄN</t>
        </is>
      </c>
      <c r="E36" t="inlineStr">
        <is>
          <t>HABO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34785-2019</t>
        </is>
      </c>
      <c r="B37" s="1" t="n">
        <v>43658</v>
      </c>
      <c r="C37" s="1" t="n">
        <v>45785</v>
      </c>
      <c r="D37" t="inlineStr">
        <is>
          <t>JÖNKÖPINGS LÄN</t>
        </is>
      </c>
      <c r="E37" t="inlineStr">
        <is>
          <t>HABO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39374-2019</t>
        </is>
      </c>
      <c r="B38" s="1" t="n">
        <v>43690</v>
      </c>
      <c r="C38" s="1" t="n">
        <v>45785</v>
      </c>
      <c r="D38" t="inlineStr">
        <is>
          <t>JÖNKÖPINGS LÄN</t>
        </is>
      </c>
      <c r="E38" t="inlineStr">
        <is>
          <t>HABO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39522-2019</t>
        </is>
      </c>
      <c r="B39" s="1" t="n">
        <v>43691</v>
      </c>
      <c r="C39" s="1" t="n">
        <v>45785</v>
      </c>
      <c r="D39" t="inlineStr">
        <is>
          <t>JÖNKÖPINGS LÄN</t>
        </is>
      </c>
      <c r="E39" t="inlineStr">
        <is>
          <t>HABO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39535-2019</t>
        </is>
      </c>
      <c r="B40" s="1" t="n">
        <v>43691</v>
      </c>
      <c r="C40" s="1" t="n">
        <v>45785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48913-2019</t>
        </is>
      </c>
      <c r="B41" s="1" t="n">
        <v>43728</v>
      </c>
      <c r="C41" s="1" t="n">
        <v>45785</v>
      </c>
      <c r="D41" t="inlineStr">
        <is>
          <t>JÖNKÖPINGS LÄN</t>
        </is>
      </c>
      <c r="E41" t="inlineStr">
        <is>
          <t>HABO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49604-2019</t>
        </is>
      </c>
      <c r="B42" s="1" t="n">
        <v>43732</v>
      </c>
      <c r="C42" s="1" t="n">
        <v>45785</v>
      </c>
      <c r="D42" t="inlineStr">
        <is>
          <t>JÖNKÖPINGS LÄN</t>
        </is>
      </c>
      <c r="E42" t="inlineStr">
        <is>
          <t>HABO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49790-2019</t>
        </is>
      </c>
      <c r="B43" s="1" t="n">
        <v>43733</v>
      </c>
      <c r="C43" s="1" t="n">
        <v>45785</v>
      </c>
      <c r="D43" t="inlineStr">
        <is>
          <t>JÖNKÖPINGS LÄN</t>
        </is>
      </c>
      <c r="E43" t="inlineStr">
        <is>
          <t>HABO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53926-2019</t>
        </is>
      </c>
      <c r="B44" s="1" t="n">
        <v>43742</v>
      </c>
      <c r="C44" s="1" t="n">
        <v>45785</v>
      </c>
      <c r="D44" t="inlineStr">
        <is>
          <t>JÖNKÖPINGS LÄN</t>
        </is>
      </c>
      <c r="E44" t="inlineStr">
        <is>
          <t>HABO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58447-2019</t>
        </is>
      </c>
      <c r="B45" s="1" t="n">
        <v>43773</v>
      </c>
      <c r="C45" s="1" t="n">
        <v>45785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58746-2019</t>
        </is>
      </c>
      <c r="B46" s="1" t="n">
        <v>43773</v>
      </c>
      <c r="C46" s="1" t="n">
        <v>45785</v>
      </c>
      <c r="D46" t="inlineStr">
        <is>
          <t>JÖNKÖPINGS LÄN</t>
        </is>
      </c>
      <c r="E46" t="inlineStr">
        <is>
          <t>HABO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59764-2019</t>
        </is>
      </c>
      <c r="B47" s="1" t="n">
        <v>43776</v>
      </c>
      <c r="C47" s="1" t="n">
        <v>45785</v>
      </c>
      <c r="D47" t="inlineStr">
        <is>
          <t>JÖNKÖPINGS LÄN</t>
        </is>
      </c>
      <c r="E47" t="inlineStr">
        <is>
          <t>HABO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59768-2019</t>
        </is>
      </c>
      <c r="B48" s="1" t="n">
        <v>43776</v>
      </c>
      <c r="C48" s="1" t="n">
        <v>45785</v>
      </c>
      <c r="D48" t="inlineStr">
        <is>
          <t>JÖNKÖPINGS LÄN</t>
        </is>
      </c>
      <c r="E48" t="inlineStr">
        <is>
          <t>HABO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60520-2019</t>
        </is>
      </c>
      <c r="B49" s="1" t="n">
        <v>43781</v>
      </c>
      <c r="C49" s="1" t="n">
        <v>45785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60518-2019</t>
        </is>
      </c>
      <c r="B50" s="1" t="n">
        <v>43781</v>
      </c>
      <c r="C50" s="1" t="n">
        <v>45785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61420-2019</t>
        </is>
      </c>
      <c r="B51" s="1" t="n">
        <v>43783</v>
      </c>
      <c r="C51" s="1" t="n">
        <v>45785</v>
      </c>
      <c r="D51" t="inlineStr">
        <is>
          <t>JÖNKÖPINGS LÄN</t>
        </is>
      </c>
      <c r="E51" t="inlineStr">
        <is>
          <t>HABO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62647-2019</t>
        </is>
      </c>
      <c r="B52" s="1" t="n">
        <v>43789</v>
      </c>
      <c r="C52" s="1" t="n">
        <v>45785</v>
      </c>
      <c r="D52" t="inlineStr">
        <is>
          <t>JÖNKÖPINGS LÄN</t>
        </is>
      </c>
      <c r="E52" t="inlineStr">
        <is>
          <t>HABO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64751-2019</t>
        </is>
      </c>
      <c r="B53" s="1" t="n">
        <v>43801</v>
      </c>
      <c r="C53" s="1" t="n">
        <v>45785</v>
      </c>
      <c r="D53" t="inlineStr">
        <is>
          <t>JÖNKÖPINGS LÄN</t>
        </is>
      </c>
      <c r="E53" t="inlineStr">
        <is>
          <t>HABO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1013-2020</t>
        </is>
      </c>
      <c r="B54" s="1" t="n">
        <v>43839</v>
      </c>
      <c r="C54" s="1" t="n">
        <v>45785</v>
      </c>
      <c r="D54" t="inlineStr">
        <is>
          <t>JÖNKÖPINGS LÄN</t>
        </is>
      </c>
      <c r="E54" t="inlineStr">
        <is>
          <t>HABO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3746-2020</t>
        </is>
      </c>
      <c r="B55" s="1" t="n">
        <v>43854</v>
      </c>
      <c r="C55" s="1" t="n">
        <v>45785</v>
      </c>
      <c r="D55" t="inlineStr">
        <is>
          <t>JÖNKÖPINGS LÄN</t>
        </is>
      </c>
      <c r="E55" t="inlineStr">
        <is>
          <t>HABO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4175-2020</t>
        </is>
      </c>
      <c r="B56" s="1" t="n">
        <v>43857</v>
      </c>
      <c r="C56" s="1" t="n">
        <v>45785</v>
      </c>
      <c r="D56" t="inlineStr">
        <is>
          <t>JÖNKÖPINGS LÄN</t>
        </is>
      </c>
      <c r="E56" t="inlineStr">
        <is>
          <t>HABO</t>
        </is>
      </c>
      <c r="F56" t="inlineStr">
        <is>
          <t>Kyrkan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4684-2020</t>
        </is>
      </c>
      <c r="B57" s="1" t="n">
        <v>43858</v>
      </c>
      <c r="C57" s="1" t="n">
        <v>45785</v>
      </c>
      <c r="D57" t="inlineStr">
        <is>
          <t>JÖNKÖPINGS LÄN</t>
        </is>
      </c>
      <c r="E57" t="inlineStr">
        <is>
          <t>HABO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4675-2020</t>
        </is>
      </c>
      <c r="B58" s="1" t="n">
        <v>43858</v>
      </c>
      <c r="C58" s="1" t="n">
        <v>45785</v>
      </c>
      <c r="D58" t="inlineStr">
        <is>
          <t>JÖNKÖPINGS LÄN</t>
        </is>
      </c>
      <c r="E58" t="inlineStr">
        <is>
          <t>HABO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19956-2020</t>
        </is>
      </c>
      <c r="B59" s="1" t="n">
        <v>43943</v>
      </c>
      <c r="C59" s="1" t="n">
        <v>45785</v>
      </c>
      <c r="D59" t="inlineStr">
        <is>
          <t>JÖNKÖPINGS LÄN</t>
        </is>
      </c>
      <c r="E59" t="inlineStr">
        <is>
          <t>HABO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28729-2020</t>
        </is>
      </c>
      <c r="B60" s="1" t="n">
        <v>43999</v>
      </c>
      <c r="C60" s="1" t="n">
        <v>45785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33272-2020</t>
        </is>
      </c>
      <c r="B61" s="1" t="n">
        <v>44022</v>
      </c>
      <c r="C61" s="1" t="n">
        <v>45785</v>
      </c>
      <c r="D61" t="inlineStr">
        <is>
          <t>JÖNKÖPINGS LÄN</t>
        </is>
      </c>
      <c r="E61" t="inlineStr">
        <is>
          <t>HABO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36230-2020</t>
        </is>
      </c>
      <c r="B62" s="1" t="n">
        <v>44049</v>
      </c>
      <c r="C62" s="1" t="n">
        <v>45785</v>
      </c>
      <c r="D62" t="inlineStr">
        <is>
          <t>JÖNKÖPINGS LÄN</t>
        </is>
      </c>
      <c r="E62" t="inlineStr">
        <is>
          <t>HABO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55788-2020</t>
        </is>
      </c>
      <c r="B63" s="1" t="n">
        <v>44132</v>
      </c>
      <c r="C63" s="1" t="n">
        <v>45785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56917-2020</t>
        </is>
      </c>
      <c r="B64" s="1" t="n">
        <v>44137</v>
      </c>
      <c r="C64" s="1" t="n">
        <v>45785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63523-2020</t>
        </is>
      </c>
      <c r="B65" s="1" t="n">
        <v>44165</v>
      </c>
      <c r="C65" s="1" t="n">
        <v>45785</v>
      </c>
      <c r="D65" t="inlineStr">
        <is>
          <t>JÖNKÖPINGS LÄN</t>
        </is>
      </c>
      <c r="E65" t="inlineStr">
        <is>
          <t>HABO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64669-2020</t>
        </is>
      </c>
      <c r="B66" s="1" t="n">
        <v>44169</v>
      </c>
      <c r="C66" s="1" t="n">
        <v>45785</v>
      </c>
      <c r="D66" t="inlineStr">
        <is>
          <t>JÖNKÖPINGS LÄN</t>
        </is>
      </c>
      <c r="E66" t="inlineStr">
        <is>
          <t>HABO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65890-2020</t>
        </is>
      </c>
      <c r="B67" s="1" t="n">
        <v>44174</v>
      </c>
      <c r="C67" s="1" t="n">
        <v>45785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66444-2020</t>
        </is>
      </c>
      <c r="B68" s="1" t="n">
        <v>44176</v>
      </c>
      <c r="C68" s="1" t="n">
        <v>45785</v>
      </c>
      <c r="D68" t="inlineStr">
        <is>
          <t>JÖNKÖPINGS LÄN</t>
        </is>
      </c>
      <c r="E68" t="inlineStr">
        <is>
          <t>HABO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1388-2021</t>
        </is>
      </c>
      <c r="B69" s="1" t="n">
        <v>44208</v>
      </c>
      <c r="C69" s="1" t="n">
        <v>45785</v>
      </c>
      <c r="D69" t="inlineStr">
        <is>
          <t>JÖNKÖPINGS LÄN</t>
        </is>
      </c>
      <c r="E69" t="inlineStr">
        <is>
          <t>HABO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1396-2021</t>
        </is>
      </c>
      <c r="B70" s="1" t="n">
        <v>44208</v>
      </c>
      <c r="C70" s="1" t="n">
        <v>45785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1400-2021</t>
        </is>
      </c>
      <c r="B71" s="1" t="n">
        <v>44208</v>
      </c>
      <c r="C71" s="1" t="n">
        <v>45785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1412-2021</t>
        </is>
      </c>
      <c r="B72" s="1" t="n">
        <v>44208</v>
      </c>
      <c r="C72" s="1" t="n">
        <v>45785</v>
      </c>
      <c r="D72" t="inlineStr">
        <is>
          <t>JÖNKÖPINGS LÄN</t>
        </is>
      </c>
      <c r="E72" t="inlineStr">
        <is>
          <t>HABO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7069-2021</t>
        </is>
      </c>
      <c r="B73" s="1" t="n">
        <v>44237</v>
      </c>
      <c r="C73" s="1" t="n">
        <v>45785</v>
      </c>
      <c r="D73" t="inlineStr">
        <is>
          <t>JÖNKÖPINGS LÄN</t>
        </is>
      </c>
      <c r="E73" t="inlineStr">
        <is>
          <t>HABO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7070-2021</t>
        </is>
      </c>
      <c r="B74" s="1" t="n">
        <v>44237</v>
      </c>
      <c r="C74" s="1" t="n">
        <v>45785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10964-2021</t>
        </is>
      </c>
      <c r="B75" s="1" t="n">
        <v>44260</v>
      </c>
      <c r="C75" s="1" t="n">
        <v>45785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12050-2021</t>
        </is>
      </c>
      <c r="B76" s="1" t="n">
        <v>44266</v>
      </c>
      <c r="C76" s="1" t="n">
        <v>45785</v>
      </c>
      <c r="D76" t="inlineStr">
        <is>
          <t>JÖNKÖPINGS LÄN</t>
        </is>
      </c>
      <c r="E76" t="inlineStr">
        <is>
          <t>HABO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13609-2021</t>
        </is>
      </c>
      <c r="B77" s="1" t="n">
        <v>44274</v>
      </c>
      <c r="C77" s="1" t="n">
        <v>45785</v>
      </c>
      <c r="D77" t="inlineStr">
        <is>
          <t>JÖNKÖPINGS LÄN</t>
        </is>
      </c>
      <c r="E77" t="inlineStr">
        <is>
          <t>HABO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23625-2021</t>
        </is>
      </c>
      <c r="B78" s="1" t="n">
        <v>44334</v>
      </c>
      <c r="C78" s="1" t="n">
        <v>45785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26502-2021</t>
        </is>
      </c>
      <c r="B79" s="1" t="n">
        <v>44348</v>
      </c>
      <c r="C79" s="1" t="n">
        <v>45785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28977-2021</t>
        </is>
      </c>
      <c r="B80" s="1" t="n">
        <v>44358</v>
      </c>
      <c r="C80" s="1" t="n">
        <v>45785</v>
      </c>
      <c r="D80" t="inlineStr">
        <is>
          <t>JÖNKÖPINGS LÄN</t>
        </is>
      </c>
      <c r="E80" t="inlineStr">
        <is>
          <t>HABO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29865-2021</t>
        </is>
      </c>
      <c r="B81" s="1" t="n">
        <v>44362</v>
      </c>
      <c r="C81" s="1" t="n">
        <v>45785</v>
      </c>
      <c r="D81" t="inlineStr">
        <is>
          <t>JÖNKÖPINGS LÄN</t>
        </is>
      </c>
      <c r="E81" t="inlineStr">
        <is>
          <t>HABO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34734-2021</t>
        </is>
      </c>
      <c r="B82" s="1" t="n">
        <v>44382</v>
      </c>
      <c r="C82" s="1" t="n">
        <v>45785</v>
      </c>
      <c r="D82" t="inlineStr">
        <is>
          <t>JÖNKÖPINGS LÄN</t>
        </is>
      </c>
      <c r="E82" t="inlineStr">
        <is>
          <t>HABO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34738-2021</t>
        </is>
      </c>
      <c r="B83" s="1" t="n">
        <v>44382</v>
      </c>
      <c r="C83" s="1" t="n">
        <v>45785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35115-2021</t>
        </is>
      </c>
      <c r="B84" s="1" t="n">
        <v>44384</v>
      </c>
      <c r="C84" s="1" t="n">
        <v>45785</v>
      </c>
      <c r="D84" t="inlineStr">
        <is>
          <t>JÖNKÖPINGS LÄN</t>
        </is>
      </c>
      <c r="E84" t="inlineStr">
        <is>
          <t>HABO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40575-2021</t>
        </is>
      </c>
      <c r="B85" s="1" t="n">
        <v>44420</v>
      </c>
      <c r="C85" s="1" t="n">
        <v>45785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41211-2021</t>
        </is>
      </c>
      <c r="B86" s="1" t="n">
        <v>44424</v>
      </c>
      <c r="C86" s="1" t="n">
        <v>45785</v>
      </c>
      <c r="D86" t="inlineStr">
        <is>
          <t>JÖNKÖPINGS LÄN</t>
        </is>
      </c>
      <c r="E86" t="inlineStr">
        <is>
          <t>HABO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41213-2021</t>
        </is>
      </c>
      <c r="B87" s="1" t="n">
        <v>44424</v>
      </c>
      <c r="C87" s="1" t="n">
        <v>45785</v>
      </c>
      <c r="D87" t="inlineStr">
        <is>
          <t>JÖNKÖPINGS LÄN</t>
        </is>
      </c>
      <c r="E87" t="inlineStr">
        <is>
          <t>HABO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41226-2021</t>
        </is>
      </c>
      <c r="B88" s="1" t="n">
        <v>44424</v>
      </c>
      <c r="C88" s="1" t="n">
        <v>45785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41217-2021</t>
        </is>
      </c>
      <c r="B89" s="1" t="n">
        <v>44424</v>
      </c>
      <c r="C89" s="1" t="n">
        <v>45785</v>
      </c>
      <c r="D89" t="inlineStr">
        <is>
          <t>JÖNKÖPINGS LÄN</t>
        </is>
      </c>
      <c r="E89" t="inlineStr">
        <is>
          <t>HABO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41206-2021</t>
        </is>
      </c>
      <c r="B90" s="1" t="n">
        <v>44424</v>
      </c>
      <c r="C90" s="1" t="n">
        <v>45785</v>
      </c>
      <c r="D90" t="inlineStr">
        <is>
          <t>JÖNKÖPINGS LÄN</t>
        </is>
      </c>
      <c r="E90" t="inlineStr">
        <is>
          <t>HABO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41216-2021</t>
        </is>
      </c>
      <c r="B91" s="1" t="n">
        <v>44424</v>
      </c>
      <c r="C91" s="1" t="n">
        <v>45785</v>
      </c>
      <c r="D91" t="inlineStr">
        <is>
          <t>JÖNKÖPINGS LÄN</t>
        </is>
      </c>
      <c r="E91" t="inlineStr">
        <is>
          <t>HABO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41694-2021</t>
        </is>
      </c>
      <c r="B92" s="1" t="n">
        <v>44425</v>
      </c>
      <c r="C92" s="1" t="n">
        <v>45785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42361-2021</t>
        </is>
      </c>
      <c r="B93" s="1" t="n">
        <v>44427</v>
      </c>
      <c r="C93" s="1" t="n">
        <v>45785</v>
      </c>
      <c r="D93" t="inlineStr">
        <is>
          <t>JÖNKÖPINGS LÄN</t>
        </is>
      </c>
      <c r="E93" t="inlineStr">
        <is>
          <t>HABO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45684-2021</t>
        </is>
      </c>
      <c r="B94" s="1" t="n">
        <v>44441</v>
      </c>
      <c r="C94" s="1" t="n">
        <v>45785</v>
      </c>
      <c r="D94" t="inlineStr">
        <is>
          <t>JÖNKÖPINGS LÄN</t>
        </is>
      </c>
      <c r="E94" t="inlineStr">
        <is>
          <t>HABO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49577-2021</t>
        </is>
      </c>
      <c r="B95" s="1" t="n">
        <v>44455</v>
      </c>
      <c r="C95" s="1" t="n">
        <v>45785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51366-2021</t>
        </is>
      </c>
      <c r="B96" s="1" t="n">
        <v>44461</v>
      </c>
      <c r="C96" s="1" t="n">
        <v>45785</v>
      </c>
      <c r="D96" t="inlineStr">
        <is>
          <t>JÖNKÖPINGS LÄN</t>
        </is>
      </c>
      <c r="E96" t="inlineStr">
        <is>
          <t>HABO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53914-2021</t>
        </is>
      </c>
      <c r="B97" s="1" t="n">
        <v>44469</v>
      </c>
      <c r="C97" s="1" t="n">
        <v>45785</v>
      </c>
      <c r="D97" t="inlineStr">
        <is>
          <t>JÖNKÖPINGS LÄN</t>
        </is>
      </c>
      <c r="E97" t="inlineStr">
        <is>
          <t>HABO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54892-2021</t>
        </is>
      </c>
      <c r="B98" s="1" t="n">
        <v>44474</v>
      </c>
      <c r="C98" s="1" t="n">
        <v>45785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58430-2021</t>
        </is>
      </c>
      <c r="B99" s="1" t="n">
        <v>44488</v>
      </c>
      <c r="C99" s="1" t="n">
        <v>45785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58452-2021</t>
        </is>
      </c>
      <c r="B100" s="1" t="n">
        <v>44488</v>
      </c>
      <c r="C100" s="1" t="n">
        <v>45785</v>
      </c>
      <c r="D100" t="inlineStr">
        <is>
          <t>JÖNKÖPINGS LÄN</t>
        </is>
      </c>
      <c r="E100" t="inlineStr">
        <is>
          <t>HABO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58458-2021</t>
        </is>
      </c>
      <c r="B101" s="1" t="n">
        <v>44488</v>
      </c>
      <c r="C101" s="1" t="n">
        <v>45785</v>
      </c>
      <c r="D101" t="inlineStr">
        <is>
          <t>JÖNKÖPINGS LÄN</t>
        </is>
      </c>
      <c r="E101" t="inlineStr">
        <is>
          <t>HABO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61399-2021</t>
        </is>
      </c>
      <c r="B102" s="1" t="n">
        <v>44500</v>
      </c>
      <c r="C102" s="1" t="n">
        <v>45785</v>
      </c>
      <c r="D102" t="inlineStr">
        <is>
          <t>JÖNKÖPINGS LÄN</t>
        </is>
      </c>
      <c r="E102" t="inlineStr">
        <is>
          <t>HABO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68331-2021</t>
        </is>
      </c>
      <c r="B103" s="1" t="n">
        <v>44527</v>
      </c>
      <c r="C103" s="1" t="n">
        <v>45785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68884-2021</t>
        </is>
      </c>
      <c r="B104" s="1" t="n">
        <v>44530</v>
      </c>
      <c r="C104" s="1" t="n">
        <v>45785</v>
      </c>
      <c r="D104" t="inlineStr">
        <is>
          <t>JÖNKÖPINGS LÄN</t>
        </is>
      </c>
      <c r="E104" t="inlineStr">
        <is>
          <t>HABO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68886-2021</t>
        </is>
      </c>
      <c r="B105" s="1" t="n">
        <v>44530</v>
      </c>
      <c r="C105" s="1" t="n">
        <v>45785</v>
      </c>
      <c r="D105" t="inlineStr">
        <is>
          <t>JÖNKÖPINGS LÄN</t>
        </is>
      </c>
      <c r="E105" t="inlineStr">
        <is>
          <t>HABO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69706-2021</t>
        </is>
      </c>
      <c r="B106" s="1" t="n">
        <v>44532</v>
      </c>
      <c r="C106" s="1" t="n">
        <v>45785</v>
      </c>
      <c r="D106" t="inlineStr">
        <is>
          <t>JÖNKÖPINGS LÄN</t>
        </is>
      </c>
      <c r="E106" t="inlineStr">
        <is>
          <t>HABO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532-2022</t>
        </is>
      </c>
      <c r="B107" s="1" t="n">
        <v>44566</v>
      </c>
      <c r="C107" s="1" t="n">
        <v>45785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1004-2022</t>
        </is>
      </c>
      <c r="B108" s="1" t="n">
        <v>44571</v>
      </c>
      <c r="C108" s="1" t="n">
        <v>45785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1876-2022</t>
        </is>
      </c>
      <c r="B109" s="1" t="n">
        <v>44575</v>
      </c>
      <c r="C109" s="1" t="n">
        <v>45785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10432-2022</t>
        </is>
      </c>
      <c r="B110" s="1" t="n">
        <v>44623</v>
      </c>
      <c r="C110" s="1" t="n">
        <v>45785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10943-2022</t>
        </is>
      </c>
      <c r="B111" s="1" t="n">
        <v>44628</v>
      </c>
      <c r="C111" s="1" t="n">
        <v>45785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11075-2022</t>
        </is>
      </c>
      <c r="B112" s="1" t="n">
        <v>44628</v>
      </c>
      <c r="C112" s="1" t="n">
        <v>45785</v>
      </c>
      <c r="D112" t="inlineStr">
        <is>
          <t>JÖNKÖPINGS LÄN</t>
        </is>
      </c>
      <c r="E112" t="inlineStr">
        <is>
          <t>HABO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12592-2022</t>
        </is>
      </c>
      <c r="B113" s="1" t="n">
        <v>44640</v>
      </c>
      <c r="C113" s="1" t="n">
        <v>45785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13250-2022</t>
        </is>
      </c>
      <c r="B114" s="1" t="n">
        <v>44644</v>
      </c>
      <c r="C114" s="1" t="n">
        <v>45785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16307-2022</t>
        </is>
      </c>
      <c r="B115" s="1" t="n">
        <v>44670</v>
      </c>
      <c r="C115" s="1" t="n">
        <v>45785</v>
      </c>
      <c r="D115" t="inlineStr">
        <is>
          <t>JÖNKÖPINGS LÄN</t>
        </is>
      </c>
      <c r="E115" t="inlineStr">
        <is>
          <t>HABO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16226-2022</t>
        </is>
      </c>
      <c r="B116" s="1" t="n">
        <v>44670</v>
      </c>
      <c r="C116" s="1" t="n">
        <v>45785</v>
      </c>
      <c r="D116" t="inlineStr">
        <is>
          <t>JÖNKÖPINGS LÄN</t>
        </is>
      </c>
      <c r="E116" t="inlineStr">
        <is>
          <t>HABO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17873-2022</t>
        </is>
      </c>
      <c r="B117" s="1" t="n">
        <v>44683</v>
      </c>
      <c r="C117" s="1" t="n">
        <v>45785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17871-2022</t>
        </is>
      </c>
      <c r="B118" s="1" t="n">
        <v>44683</v>
      </c>
      <c r="C118" s="1" t="n">
        <v>45785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19570-2022</t>
        </is>
      </c>
      <c r="B119" s="1" t="n">
        <v>44693</v>
      </c>
      <c r="C119" s="1" t="n">
        <v>45785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19569-2022</t>
        </is>
      </c>
      <c r="B120" s="1" t="n">
        <v>44693</v>
      </c>
      <c r="C120" s="1" t="n">
        <v>45785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24701-2022</t>
        </is>
      </c>
      <c r="B121" s="1" t="n">
        <v>44727</v>
      </c>
      <c r="C121" s="1" t="n">
        <v>45785</v>
      </c>
      <c r="D121" t="inlineStr">
        <is>
          <t>JÖNKÖPINGS LÄN</t>
        </is>
      </c>
      <c r="E121" t="inlineStr">
        <is>
          <t>HABO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28813-2022</t>
        </is>
      </c>
      <c r="B122" s="1" t="n">
        <v>44749</v>
      </c>
      <c r="C122" s="1" t="n">
        <v>45785</v>
      </c>
      <c r="D122" t="inlineStr">
        <is>
          <t>JÖNKÖPINGS LÄN</t>
        </is>
      </c>
      <c r="E122" t="inlineStr">
        <is>
          <t>HABO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28821-2022</t>
        </is>
      </c>
      <c r="B123" s="1" t="n">
        <v>44749</v>
      </c>
      <c r="C123" s="1" t="n">
        <v>45785</v>
      </c>
      <c r="D123" t="inlineStr">
        <is>
          <t>JÖNKÖPINGS LÄN</t>
        </is>
      </c>
      <c r="E123" t="inlineStr">
        <is>
          <t>HABO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28816-2022</t>
        </is>
      </c>
      <c r="B124" s="1" t="n">
        <v>44749</v>
      </c>
      <c r="C124" s="1" t="n">
        <v>45785</v>
      </c>
      <c r="D124" t="inlineStr">
        <is>
          <t>JÖNKÖPINGS LÄN</t>
        </is>
      </c>
      <c r="E124" t="inlineStr">
        <is>
          <t>HABO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28810-2022</t>
        </is>
      </c>
      <c r="B125" s="1" t="n">
        <v>44749</v>
      </c>
      <c r="C125" s="1" t="n">
        <v>45785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28817-2022</t>
        </is>
      </c>
      <c r="B126" s="1" t="n">
        <v>44749</v>
      </c>
      <c r="C126" s="1" t="n">
        <v>45785</v>
      </c>
      <c r="D126" t="inlineStr">
        <is>
          <t>JÖNKÖPINGS LÄN</t>
        </is>
      </c>
      <c r="E126" t="inlineStr">
        <is>
          <t>HABO</t>
        </is>
      </c>
      <c r="G126" t="n">
        <v>22.4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28825-2022</t>
        </is>
      </c>
      <c r="B127" s="1" t="n">
        <v>44749</v>
      </c>
      <c r="C127" s="1" t="n">
        <v>45785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31112-2022</t>
        </is>
      </c>
      <c r="B128" s="1" t="n">
        <v>44769</v>
      </c>
      <c r="C128" s="1" t="n">
        <v>45785</v>
      </c>
      <c r="D128" t="inlineStr">
        <is>
          <t>JÖNKÖPINGS LÄN</t>
        </is>
      </c>
      <c r="E128" t="inlineStr">
        <is>
          <t>HABO</t>
        </is>
      </c>
      <c r="F128" t="inlineStr">
        <is>
          <t>Kyrkan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31591-2022</t>
        </is>
      </c>
      <c r="B129" s="1" t="n">
        <v>44775</v>
      </c>
      <c r="C129" s="1" t="n">
        <v>45785</v>
      </c>
      <c r="D129" t="inlineStr">
        <is>
          <t>JÖNKÖPINGS LÄN</t>
        </is>
      </c>
      <c r="E129" t="inlineStr">
        <is>
          <t>HABO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</v>
      </c>
      <c r="C130" s="1" t="n">
        <v>45785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35148-2022</t>
        </is>
      </c>
      <c r="B131" s="1" t="n">
        <v>44797</v>
      </c>
      <c r="C131" s="1" t="n">
        <v>45785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35574-2022</t>
        </is>
      </c>
      <c r="B132" s="1" t="n">
        <v>44799</v>
      </c>
      <c r="C132" s="1" t="n">
        <v>45785</v>
      </c>
      <c r="D132" t="inlineStr">
        <is>
          <t>JÖNKÖPINGS LÄN</t>
        </is>
      </c>
      <c r="E132" t="inlineStr">
        <is>
          <t>HABO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35626-2022</t>
        </is>
      </c>
      <c r="B133" s="1" t="n">
        <v>44799</v>
      </c>
      <c r="C133" s="1" t="n">
        <v>45785</v>
      </c>
      <c r="D133" t="inlineStr">
        <is>
          <t>JÖNKÖPINGS LÄN</t>
        </is>
      </c>
      <c r="E133" t="inlineStr">
        <is>
          <t>HABO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35775-2022</t>
        </is>
      </c>
      <c r="B134" s="1" t="n">
        <v>44801</v>
      </c>
      <c r="C134" s="1" t="n">
        <v>45785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35779-2022</t>
        </is>
      </c>
      <c r="B135" s="1" t="n">
        <v>44801</v>
      </c>
      <c r="C135" s="1" t="n">
        <v>45785</v>
      </c>
      <c r="D135" t="inlineStr">
        <is>
          <t>JÖNKÖPINGS LÄN</t>
        </is>
      </c>
      <c r="E135" t="inlineStr">
        <is>
          <t>HABO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35774-2022</t>
        </is>
      </c>
      <c r="B136" s="1" t="n">
        <v>44801</v>
      </c>
      <c r="C136" s="1" t="n">
        <v>45785</v>
      </c>
      <c r="D136" t="inlineStr">
        <is>
          <t>JÖNKÖPINGS LÄN</t>
        </is>
      </c>
      <c r="E136" t="inlineStr">
        <is>
          <t>HABO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38771-2022</t>
        </is>
      </c>
      <c r="B137" s="1" t="n">
        <v>44816</v>
      </c>
      <c r="C137" s="1" t="n">
        <v>45785</v>
      </c>
      <c r="D137" t="inlineStr">
        <is>
          <t>JÖNKÖPINGS LÄN</t>
        </is>
      </c>
      <c r="E137" t="inlineStr">
        <is>
          <t>HABO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38779-2022</t>
        </is>
      </c>
      <c r="B138" s="1" t="n">
        <v>44816</v>
      </c>
      <c r="C138" s="1" t="n">
        <v>45785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40646-2022</t>
        </is>
      </c>
      <c r="B139" s="1" t="n">
        <v>44824</v>
      </c>
      <c r="C139" s="1" t="n">
        <v>45785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41910-2022</t>
        </is>
      </c>
      <c r="B140" s="1" t="n">
        <v>44830</v>
      </c>
      <c r="C140" s="1" t="n">
        <v>45785</v>
      </c>
      <c r="D140" t="inlineStr">
        <is>
          <t>JÖNKÖPINGS LÄN</t>
        </is>
      </c>
      <c r="E140" t="inlineStr">
        <is>
          <t>HABO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45601-2022</t>
        </is>
      </c>
      <c r="B141" s="1" t="n">
        <v>44845</v>
      </c>
      <c r="C141" s="1" t="n">
        <v>45785</v>
      </c>
      <c r="D141" t="inlineStr">
        <is>
          <t>JÖNKÖPINGS LÄN</t>
        </is>
      </c>
      <c r="E141" t="inlineStr">
        <is>
          <t>HABO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45803-2022</t>
        </is>
      </c>
      <c r="B142" s="1" t="n">
        <v>44846</v>
      </c>
      <c r="C142" s="1" t="n">
        <v>45785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46078-2022</t>
        </is>
      </c>
      <c r="B143" s="1" t="n">
        <v>44847</v>
      </c>
      <c r="C143" s="1" t="n">
        <v>45785</v>
      </c>
      <c r="D143" t="inlineStr">
        <is>
          <t>JÖNKÖPINGS LÄN</t>
        </is>
      </c>
      <c r="E143" t="inlineStr">
        <is>
          <t>HABO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47440-2022</t>
        </is>
      </c>
      <c r="B144" s="1" t="n">
        <v>44853</v>
      </c>
      <c r="C144" s="1" t="n">
        <v>45785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48739-2022</t>
        </is>
      </c>
      <c r="B145" s="1" t="n">
        <v>44859</v>
      </c>
      <c r="C145" s="1" t="n">
        <v>45785</v>
      </c>
      <c r="D145" t="inlineStr">
        <is>
          <t>JÖNKÖPINGS LÄN</t>
        </is>
      </c>
      <c r="E145" t="inlineStr">
        <is>
          <t>HABO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49471-2022</t>
        </is>
      </c>
      <c r="B146" s="1" t="n">
        <v>44861</v>
      </c>
      <c r="C146" s="1" t="n">
        <v>45785</v>
      </c>
      <c r="D146" t="inlineStr">
        <is>
          <t>JÖNKÖPINGS LÄN</t>
        </is>
      </c>
      <c r="E146" t="inlineStr">
        <is>
          <t>HABO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53264-2022</t>
        </is>
      </c>
      <c r="B147" s="1" t="n">
        <v>44876</v>
      </c>
      <c r="C147" s="1" t="n">
        <v>45785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53300-2022</t>
        </is>
      </c>
      <c r="B148" s="1" t="n">
        <v>44877</v>
      </c>
      <c r="C148" s="1" t="n">
        <v>45785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53301-2022</t>
        </is>
      </c>
      <c r="B149" s="1" t="n">
        <v>44877</v>
      </c>
      <c r="C149" s="1" t="n">
        <v>45785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56767-2022</t>
        </is>
      </c>
      <c r="B150" s="1" t="n">
        <v>44894</v>
      </c>
      <c r="C150" s="1" t="n">
        <v>45785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57360-2022</t>
        </is>
      </c>
      <c r="B151" s="1" t="n">
        <v>44896</v>
      </c>
      <c r="C151" s="1" t="n">
        <v>45785</v>
      </c>
      <c r="D151" t="inlineStr">
        <is>
          <t>JÖNKÖPINGS LÄN</t>
        </is>
      </c>
      <c r="E151" t="inlineStr">
        <is>
          <t>HABO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57370-2022</t>
        </is>
      </c>
      <c r="B152" s="1" t="n">
        <v>44896</v>
      </c>
      <c r="C152" s="1" t="n">
        <v>45785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57368-2022</t>
        </is>
      </c>
      <c r="B153" s="1" t="n">
        <v>44896</v>
      </c>
      <c r="C153" s="1" t="n">
        <v>45785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58462-2022</t>
        </is>
      </c>
      <c r="B154" s="1" t="n">
        <v>44902</v>
      </c>
      <c r="C154" s="1" t="n">
        <v>45785</v>
      </c>
      <c r="D154" t="inlineStr">
        <is>
          <t>JÖNKÖPINGS LÄN</t>
        </is>
      </c>
      <c r="E154" t="inlineStr">
        <is>
          <t>HABO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59928-2022</t>
        </is>
      </c>
      <c r="B155" s="1" t="n">
        <v>44909</v>
      </c>
      <c r="C155" s="1" t="n">
        <v>45785</v>
      </c>
      <c r="D155" t="inlineStr">
        <is>
          <t>JÖNKÖPINGS LÄN</t>
        </is>
      </c>
      <c r="E155" t="inlineStr">
        <is>
          <t>HABO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60726-2022</t>
        </is>
      </c>
      <c r="B156" s="1" t="n">
        <v>44913</v>
      </c>
      <c r="C156" s="1" t="n">
        <v>45785</v>
      </c>
      <c r="D156" t="inlineStr">
        <is>
          <t>JÖNKÖPINGS LÄN</t>
        </is>
      </c>
      <c r="E156" t="inlineStr">
        <is>
          <t>HABO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60953-2022</t>
        </is>
      </c>
      <c r="B157" s="1" t="n">
        <v>44914</v>
      </c>
      <c r="C157" s="1" t="n">
        <v>45785</v>
      </c>
      <c r="D157" t="inlineStr">
        <is>
          <t>JÖNKÖPINGS LÄN</t>
        </is>
      </c>
      <c r="E157" t="inlineStr">
        <is>
          <t>HABO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60950-2022</t>
        </is>
      </c>
      <c r="B158" s="1" t="n">
        <v>44914</v>
      </c>
      <c r="C158" s="1" t="n">
        <v>45785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60965-2022</t>
        </is>
      </c>
      <c r="B159" s="1" t="n">
        <v>44914</v>
      </c>
      <c r="C159" s="1" t="n">
        <v>45785</v>
      </c>
      <c r="D159" t="inlineStr">
        <is>
          <t>JÖNKÖPINGS LÄN</t>
        </is>
      </c>
      <c r="E159" t="inlineStr">
        <is>
          <t>HABO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60971-2022</t>
        </is>
      </c>
      <c r="B160" s="1" t="n">
        <v>44914</v>
      </c>
      <c r="C160" s="1" t="n">
        <v>45785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2073-2023</t>
        </is>
      </c>
      <c r="B161" s="1" t="n">
        <v>44939</v>
      </c>
      <c r="C161" s="1" t="n">
        <v>45785</v>
      </c>
      <c r="D161" t="inlineStr">
        <is>
          <t>JÖNKÖPINGS LÄN</t>
        </is>
      </c>
      <c r="E161" t="inlineStr">
        <is>
          <t>HABO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2780-2023</t>
        </is>
      </c>
      <c r="B162" s="1" t="n">
        <v>44944</v>
      </c>
      <c r="C162" s="1" t="n">
        <v>45785</v>
      </c>
      <c r="D162" t="inlineStr">
        <is>
          <t>JÖNKÖPINGS LÄN</t>
        </is>
      </c>
      <c r="E162" t="inlineStr">
        <is>
          <t>HABO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3710-2023</t>
        </is>
      </c>
      <c r="B163" s="1" t="n">
        <v>44951</v>
      </c>
      <c r="C163" s="1" t="n">
        <v>45785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3716-2023</t>
        </is>
      </c>
      <c r="B164" s="1" t="n">
        <v>44951</v>
      </c>
      <c r="C164" s="1" t="n">
        <v>45785</v>
      </c>
      <c r="D164" t="inlineStr">
        <is>
          <t>JÖNKÖPINGS LÄN</t>
        </is>
      </c>
      <c r="E164" t="inlineStr">
        <is>
          <t>HABO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10876-2023</t>
        </is>
      </c>
      <c r="B165" s="1" t="n">
        <v>44991</v>
      </c>
      <c r="C165" s="1" t="n">
        <v>45785</v>
      </c>
      <c r="D165" t="inlineStr">
        <is>
          <t>JÖNKÖPINGS LÄN</t>
        </is>
      </c>
      <c r="E165" t="inlineStr">
        <is>
          <t>HABO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11906-2023</t>
        </is>
      </c>
      <c r="B166" s="1" t="n">
        <v>44995</v>
      </c>
      <c r="C166" s="1" t="n">
        <v>45785</v>
      </c>
      <c r="D166" t="inlineStr">
        <is>
          <t>JÖNKÖPINGS LÄN</t>
        </is>
      </c>
      <c r="E166" t="inlineStr">
        <is>
          <t>HABO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11907-2023</t>
        </is>
      </c>
      <c r="B167" s="1" t="n">
        <v>44995</v>
      </c>
      <c r="C167" s="1" t="n">
        <v>45785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11887-2023</t>
        </is>
      </c>
      <c r="B168" s="1" t="n">
        <v>44995</v>
      </c>
      <c r="C168" s="1" t="n">
        <v>45785</v>
      </c>
      <c r="D168" t="inlineStr">
        <is>
          <t>JÖNKÖPINGS LÄN</t>
        </is>
      </c>
      <c r="E168" t="inlineStr">
        <is>
          <t>HABO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12688-2023</t>
        </is>
      </c>
      <c r="B169" s="1" t="n">
        <v>45000</v>
      </c>
      <c r="C169" s="1" t="n">
        <v>45785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12691-2023</t>
        </is>
      </c>
      <c r="B170" s="1" t="n">
        <v>45000</v>
      </c>
      <c r="C170" s="1" t="n">
        <v>45785</v>
      </c>
      <c r="D170" t="inlineStr">
        <is>
          <t>JÖNKÖPINGS LÄN</t>
        </is>
      </c>
      <c r="E170" t="inlineStr">
        <is>
          <t>HABO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13880-2023</t>
        </is>
      </c>
      <c r="B171" s="1" t="n">
        <v>45007</v>
      </c>
      <c r="C171" s="1" t="n">
        <v>45785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15100-2023</t>
        </is>
      </c>
      <c r="B172" s="1" t="n">
        <v>45016</v>
      </c>
      <c r="C172" s="1" t="n">
        <v>45785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15518-2023</t>
        </is>
      </c>
      <c r="B173" s="1" t="n">
        <v>45020</v>
      </c>
      <c r="C173" s="1" t="n">
        <v>45785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15516-2023</t>
        </is>
      </c>
      <c r="B174" s="1" t="n">
        <v>45020</v>
      </c>
      <c r="C174" s="1" t="n">
        <v>45785</v>
      </c>
      <c r="D174" t="inlineStr">
        <is>
          <t>JÖNKÖPINGS LÄN</t>
        </is>
      </c>
      <c r="E174" t="inlineStr">
        <is>
          <t>HABO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15517-2023</t>
        </is>
      </c>
      <c r="B175" s="1" t="n">
        <v>45020</v>
      </c>
      <c r="C175" s="1" t="n">
        <v>45785</v>
      </c>
      <c r="D175" t="inlineStr">
        <is>
          <t>JÖNKÖPINGS LÄN</t>
        </is>
      </c>
      <c r="E175" t="inlineStr">
        <is>
          <t>HABO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15520-2023</t>
        </is>
      </c>
      <c r="B176" s="1" t="n">
        <v>45020</v>
      </c>
      <c r="C176" s="1" t="n">
        <v>45785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15802-2023</t>
        </is>
      </c>
      <c r="B177" s="1" t="n">
        <v>45021</v>
      </c>
      <c r="C177" s="1" t="n">
        <v>45785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16509-2023</t>
        </is>
      </c>
      <c r="B178" s="1" t="n">
        <v>45029</v>
      </c>
      <c r="C178" s="1" t="n">
        <v>45785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16726-2023</t>
        </is>
      </c>
      <c r="B179" s="1" t="n">
        <v>45030</v>
      </c>
      <c r="C179" s="1" t="n">
        <v>45785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16727-2023</t>
        </is>
      </c>
      <c r="B180" s="1" t="n">
        <v>45030</v>
      </c>
      <c r="C180" s="1" t="n">
        <v>45785</v>
      </c>
      <c r="D180" t="inlineStr">
        <is>
          <t>JÖNKÖPINGS LÄN</t>
        </is>
      </c>
      <c r="E180" t="inlineStr">
        <is>
          <t>HABO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18832-2023</t>
        </is>
      </c>
      <c r="B181" s="1" t="n">
        <v>45044</v>
      </c>
      <c r="C181" s="1" t="n">
        <v>45785</v>
      </c>
      <c r="D181" t="inlineStr">
        <is>
          <t>JÖNKÖPINGS LÄN</t>
        </is>
      </c>
      <c r="E181" t="inlineStr">
        <is>
          <t>HABO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26207-2023</t>
        </is>
      </c>
      <c r="B182" s="1" t="n">
        <v>45091</v>
      </c>
      <c r="C182" s="1" t="n">
        <v>45785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26212-2023</t>
        </is>
      </c>
      <c r="B183" s="1" t="n">
        <v>45091</v>
      </c>
      <c r="C183" s="1" t="n">
        <v>45785</v>
      </c>
      <c r="D183" t="inlineStr">
        <is>
          <t>JÖNKÖPINGS LÄN</t>
        </is>
      </c>
      <c r="E183" t="inlineStr">
        <is>
          <t>HABO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26192-2023</t>
        </is>
      </c>
      <c r="B184" s="1" t="n">
        <v>45091</v>
      </c>
      <c r="C184" s="1" t="n">
        <v>45785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26202-2023</t>
        </is>
      </c>
      <c r="B185" s="1" t="n">
        <v>45091</v>
      </c>
      <c r="C185" s="1" t="n">
        <v>45785</v>
      </c>
      <c r="D185" t="inlineStr">
        <is>
          <t>JÖNKÖPINGS LÄN</t>
        </is>
      </c>
      <c r="E185" t="inlineStr">
        <is>
          <t>HABO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26197-2023</t>
        </is>
      </c>
      <c r="B186" s="1" t="n">
        <v>45091</v>
      </c>
      <c r="C186" s="1" t="n">
        <v>45785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26189-2023</t>
        </is>
      </c>
      <c r="B187" s="1" t="n">
        <v>45091</v>
      </c>
      <c r="C187" s="1" t="n">
        <v>45785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28131-2023</t>
        </is>
      </c>
      <c r="B188" s="1" t="n">
        <v>45099</v>
      </c>
      <c r="C188" s="1" t="n">
        <v>45785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28135-2023</t>
        </is>
      </c>
      <c r="B189" s="1" t="n">
        <v>45099</v>
      </c>
      <c r="C189" s="1" t="n">
        <v>45785</v>
      </c>
      <c r="D189" t="inlineStr">
        <is>
          <t>JÖNKÖPINGS LÄN</t>
        </is>
      </c>
      <c r="E189" t="inlineStr">
        <is>
          <t>HABO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28140-2023</t>
        </is>
      </c>
      <c r="B190" s="1" t="n">
        <v>45099</v>
      </c>
      <c r="C190" s="1" t="n">
        <v>45785</v>
      </c>
      <c r="D190" t="inlineStr">
        <is>
          <t>JÖNKÖPINGS LÄN</t>
        </is>
      </c>
      <c r="E190" t="inlineStr">
        <is>
          <t>HABO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28947-2023</t>
        </is>
      </c>
      <c r="B191" s="1" t="n">
        <v>45104</v>
      </c>
      <c r="C191" s="1" t="n">
        <v>45785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29408-2023</t>
        </is>
      </c>
      <c r="B192" s="1" t="n">
        <v>45106</v>
      </c>
      <c r="C192" s="1" t="n">
        <v>45785</v>
      </c>
      <c r="D192" t="inlineStr">
        <is>
          <t>JÖNKÖPINGS LÄN</t>
        </is>
      </c>
      <c r="E192" t="inlineStr">
        <is>
          <t>HABO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29733-2023</t>
        </is>
      </c>
      <c r="B193" s="1" t="n">
        <v>45107</v>
      </c>
      <c r="C193" s="1" t="n">
        <v>45785</v>
      </c>
      <c r="D193" t="inlineStr">
        <is>
          <t>JÖNKÖPINGS LÄN</t>
        </is>
      </c>
      <c r="E193" t="inlineStr">
        <is>
          <t>HABO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29730-2023</t>
        </is>
      </c>
      <c r="B194" s="1" t="n">
        <v>45107</v>
      </c>
      <c r="C194" s="1" t="n">
        <v>45785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30348-2023</t>
        </is>
      </c>
      <c r="B195" s="1" t="n">
        <v>45111</v>
      </c>
      <c r="C195" s="1" t="n">
        <v>45785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30352-2023</t>
        </is>
      </c>
      <c r="B196" s="1" t="n">
        <v>45111</v>
      </c>
      <c r="C196" s="1" t="n">
        <v>45785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30350-2023</t>
        </is>
      </c>
      <c r="B197" s="1" t="n">
        <v>45111</v>
      </c>
      <c r="C197" s="1" t="n">
        <v>45785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30340-2023</t>
        </is>
      </c>
      <c r="B198" s="1" t="n">
        <v>45111</v>
      </c>
      <c r="C198" s="1" t="n">
        <v>45785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30351-2023</t>
        </is>
      </c>
      <c r="B199" s="1" t="n">
        <v>45111</v>
      </c>
      <c r="C199" s="1" t="n">
        <v>45785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30355-2023</t>
        </is>
      </c>
      <c r="B200" s="1" t="n">
        <v>45111</v>
      </c>
      <c r="C200" s="1" t="n">
        <v>45785</v>
      </c>
      <c r="D200" t="inlineStr">
        <is>
          <t>JÖNKÖPINGS LÄN</t>
        </is>
      </c>
      <c r="E200" t="inlineStr">
        <is>
          <t>HABO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30863-2023</t>
        </is>
      </c>
      <c r="B201" s="1" t="n">
        <v>45113</v>
      </c>
      <c r="C201" s="1" t="n">
        <v>45785</v>
      </c>
      <c r="D201" t="inlineStr">
        <is>
          <t>JÖNKÖPINGS LÄN</t>
        </is>
      </c>
      <c r="E201" t="inlineStr">
        <is>
          <t>HABO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32238-2023</t>
        </is>
      </c>
      <c r="B202" s="1" t="n">
        <v>45120</v>
      </c>
      <c r="C202" s="1" t="n">
        <v>45785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32242-2023</t>
        </is>
      </c>
      <c r="B203" s="1" t="n">
        <v>45119</v>
      </c>
      <c r="C203" s="1" t="n">
        <v>45785</v>
      </c>
      <c r="D203" t="inlineStr">
        <is>
          <t>JÖNKÖPINGS LÄN</t>
        </is>
      </c>
      <c r="E203" t="inlineStr">
        <is>
          <t>HABO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32236-2023</t>
        </is>
      </c>
      <c r="B204" s="1" t="n">
        <v>45120</v>
      </c>
      <c r="C204" s="1" t="n">
        <v>45785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32240-2023</t>
        </is>
      </c>
      <c r="B205" s="1" t="n">
        <v>45120</v>
      </c>
      <c r="C205" s="1" t="n">
        <v>45785</v>
      </c>
      <c r="D205" t="inlineStr">
        <is>
          <t>JÖNKÖPINGS LÄN</t>
        </is>
      </c>
      <c r="E205" t="inlineStr">
        <is>
          <t>HABO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32244-2023</t>
        </is>
      </c>
      <c r="B206" s="1" t="n">
        <v>45119</v>
      </c>
      <c r="C206" s="1" t="n">
        <v>45785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32235-2023</t>
        </is>
      </c>
      <c r="B207" s="1" t="n">
        <v>45120</v>
      </c>
      <c r="C207" s="1" t="n">
        <v>45785</v>
      </c>
      <c r="D207" t="inlineStr">
        <is>
          <t>JÖNKÖPINGS LÄN</t>
        </is>
      </c>
      <c r="E207" t="inlineStr">
        <is>
          <t>HABO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32239-2023</t>
        </is>
      </c>
      <c r="B208" s="1" t="n">
        <v>45119</v>
      </c>
      <c r="C208" s="1" t="n">
        <v>45785</v>
      </c>
      <c r="D208" t="inlineStr">
        <is>
          <t>JÖNKÖPINGS LÄN</t>
        </is>
      </c>
      <c r="E208" t="inlineStr">
        <is>
          <t>HABO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32243-2023</t>
        </is>
      </c>
      <c r="B209" s="1" t="n">
        <v>45119</v>
      </c>
      <c r="C209" s="1" t="n">
        <v>45785</v>
      </c>
      <c r="D209" t="inlineStr">
        <is>
          <t>JÖNKÖPINGS LÄN</t>
        </is>
      </c>
      <c r="E209" t="inlineStr">
        <is>
          <t>HABO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32245-2023</t>
        </is>
      </c>
      <c r="B210" s="1" t="n">
        <v>45120</v>
      </c>
      <c r="C210" s="1" t="n">
        <v>45785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32249-2023</t>
        </is>
      </c>
      <c r="B211" s="1" t="n">
        <v>45120</v>
      </c>
      <c r="C211" s="1" t="n">
        <v>45785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32253-2023</t>
        </is>
      </c>
      <c r="B212" s="1" t="n">
        <v>45120</v>
      </c>
      <c r="C212" s="1" t="n">
        <v>45785</v>
      </c>
      <c r="D212" t="inlineStr">
        <is>
          <t>JÖNKÖPINGS LÄN</t>
        </is>
      </c>
      <c r="E212" t="inlineStr">
        <is>
          <t>HABO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32248-2023</t>
        </is>
      </c>
      <c r="B213" s="1" t="n">
        <v>45120</v>
      </c>
      <c r="C213" s="1" t="n">
        <v>45785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32252-2023</t>
        </is>
      </c>
      <c r="B214" s="1" t="n">
        <v>45120</v>
      </c>
      <c r="C214" s="1" t="n">
        <v>45785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32246-2023</t>
        </is>
      </c>
      <c r="B215" s="1" t="n">
        <v>45120</v>
      </c>
      <c r="C215" s="1" t="n">
        <v>45785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32250-2023</t>
        </is>
      </c>
      <c r="B216" s="1" t="n">
        <v>45120</v>
      </c>
      <c r="C216" s="1" t="n">
        <v>45785</v>
      </c>
      <c r="D216" t="inlineStr">
        <is>
          <t>JÖNKÖPINGS LÄN</t>
        </is>
      </c>
      <c r="E216" t="inlineStr">
        <is>
          <t>HABO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32329-2023</t>
        </is>
      </c>
      <c r="B217" s="1" t="n">
        <v>45120</v>
      </c>
      <c r="C217" s="1" t="n">
        <v>45785</v>
      </c>
      <c r="D217" t="inlineStr">
        <is>
          <t>JÖNKÖPINGS LÄN</t>
        </is>
      </c>
      <c r="E217" t="inlineStr">
        <is>
          <t>HABO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32247-2023</t>
        </is>
      </c>
      <c r="B218" s="1" t="n">
        <v>45120</v>
      </c>
      <c r="C218" s="1" t="n">
        <v>45785</v>
      </c>
      <c r="D218" t="inlineStr">
        <is>
          <t>JÖNKÖPINGS LÄN</t>
        </is>
      </c>
      <c r="E218" t="inlineStr">
        <is>
          <t>HABO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32251-2023</t>
        </is>
      </c>
      <c r="B219" s="1" t="n">
        <v>45120</v>
      </c>
      <c r="C219" s="1" t="n">
        <v>45785</v>
      </c>
      <c r="D219" t="inlineStr">
        <is>
          <t>JÖNKÖPINGS LÄN</t>
        </is>
      </c>
      <c r="E219" t="inlineStr">
        <is>
          <t>HABO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32331-2023</t>
        </is>
      </c>
      <c r="B220" s="1" t="n">
        <v>45120</v>
      </c>
      <c r="C220" s="1" t="n">
        <v>45785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32539-2023</t>
        </is>
      </c>
      <c r="B221" s="1" t="n">
        <v>45121</v>
      </c>
      <c r="C221" s="1" t="n">
        <v>45785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34153-2023</t>
        </is>
      </c>
      <c r="B222" s="1" t="n">
        <v>45137</v>
      </c>
      <c r="C222" s="1" t="n">
        <v>45785</v>
      </c>
      <c r="D222" t="inlineStr">
        <is>
          <t>JÖNKÖPINGS LÄN</t>
        </is>
      </c>
      <c r="E222" t="inlineStr">
        <is>
          <t>HABO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34768-2023</t>
        </is>
      </c>
      <c r="B223" s="1" t="n">
        <v>45141</v>
      </c>
      <c r="C223" s="1" t="n">
        <v>45785</v>
      </c>
      <c r="D223" t="inlineStr">
        <is>
          <t>JÖNKÖPINGS LÄN</t>
        </is>
      </c>
      <c r="E223" t="inlineStr">
        <is>
          <t>HABO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35369-2023</t>
        </is>
      </c>
      <c r="B224" s="1" t="n">
        <v>45146</v>
      </c>
      <c r="C224" s="1" t="n">
        <v>45785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</v>
      </c>
      <c r="C225" s="1" t="n">
        <v>45785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</v>
      </c>
      <c r="C226" s="1" t="n">
        <v>45785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36482-2023</t>
        </is>
      </c>
      <c r="B227" s="1" t="n">
        <v>45152</v>
      </c>
      <c r="C227" s="1" t="n">
        <v>45785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36480-2023</t>
        </is>
      </c>
      <c r="B228" s="1" t="n">
        <v>45152</v>
      </c>
      <c r="C228" s="1" t="n">
        <v>45785</v>
      </c>
      <c r="D228" t="inlineStr">
        <is>
          <t>JÖNKÖPINGS LÄN</t>
        </is>
      </c>
      <c r="E228" t="inlineStr">
        <is>
          <t>HABO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36481-2023</t>
        </is>
      </c>
      <c r="B229" s="1" t="n">
        <v>45152</v>
      </c>
      <c r="C229" s="1" t="n">
        <v>45785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36533-2023</t>
        </is>
      </c>
      <c r="B230" s="1" t="n">
        <v>45153</v>
      </c>
      <c r="C230" s="1" t="n">
        <v>45785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36592-2023</t>
        </is>
      </c>
      <c r="B231" s="1" t="n">
        <v>45153</v>
      </c>
      <c r="C231" s="1" t="n">
        <v>45785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38295-2023</t>
        </is>
      </c>
      <c r="B232" s="1" t="n">
        <v>45161</v>
      </c>
      <c r="C232" s="1" t="n">
        <v>45785</v>
      </c>
      <c r="D232" t="inlineStr">
        <is>
          <t>JÖNKÖPINGS LÄN</t>
        </is>
      </c>
      <c r="E232" t="inlineStr">
        <is>
          <t>HABO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39703-2023</t>
        </is>
      </c>
      <c r="B233" s="1" t="n">
        <v>45167</v>
      </c>
      <c r="C233" s="1" t="n">
        <v>45785</v>
      </c>
      <c r="D233" t="inlineStr">
        <is>
          <t>JÖNKÖPINGS LÄN</t>
        </is>
      </c>
      <c r="E233" t="inlineStr">
        <is>
          <t>HABO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39841-2023</t>
        </is>
      </c>
      <c r="B234" s="1" t="n">
        <v>45168</v>
      </c>
      <c r="C234" s="1" t="n">
        <v>45785</v>
      </c>
      <c r="D234" t="inlineStr">
        <is>
          <t>JÖNKÖPINGS LÄN</t>
        </is>
      </c>
      <c r="E234" t="inlineStr">
        <is>
          <t>HABO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40883-2023</t>
        </is>
      </c>
      <c r="B235" s="1" t="n">
        <v>45173</v>
      </c>
      <c r="C235" s="1" t="n">
        <v>45785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40914-2023</t>
        </is>
      </c>
      <c r="B236" s="1" t="n">
        <v>45173</v>
      </c>
      <c r="C236" s="1" t="n">
        <v>45785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43160-2023</t>
        </is>
      </c>
      <c r="B237" s="1" t="n">
        <v>45183</v>
      </c>
      <c r="C237" s="1" t="n">
        <v>45785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44158-2023</t>
        </is>
      </c>
      <c r="B238" s="1" t="n">
        <v>45188</v>
      </c>
      <c r="C238" s="1" t="n">
        <v>45785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46889-2023</t>
        </is>
      </c>
      <c r="B239" s="1" t="n">
        <v>45201</v>
      </c>
      <c r="C239" s="1" t="n">
        <v>45785</v>
      </c>
      <c r="D239" t="inlineStr">
        <is>
          <t>JÖNKÖPINGS LÄN</t>
        </is>
      </c>
      <c r="E239" t="inlineStr">
        <is>
          <t>HABO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</v>
      </c>
      <c r="C240" s="1" t="n">
        <v>45785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47836-2023</t>
        </is>
      </c>
      <c r="B241" s="1" t="n">
        <v>45204</v>
      </c>
      <c r="C241" s="1" t="n">
        <v>45785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49152-2023</t>
        </is>
      </c>
      <c r="B242" s="1" t="n">
        <v>45210</v>
      </c>
      <c r="C242" s="1" t="n">
        <v>45785</v>
      </c>
      <c r="D242" t="inlineStr">
        <is>
          <t>JÖNKÖPINGS LÄN</t>
        </is>
      </c>
      <c r="E242" t="inlineStr">
        <is>
          <t>HABO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49168-2023</t>
        </is>
      </c>
      <c r="B243" s="1" t="n">
        <v>45210</v>
      </c>
      <c r="C243" s="1" t="n">
        <v>45785</v>
      </c>
      <c r="D243" t="inlineStr">
        <is>
          <t>JÖNKÖPINGS LÄN</t>
        </is>
      </c>
      <c r="E243" t="inlineStr">
        <is>
          <t>HABO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49673-2023</t>
        </is>
      </c>
      <c r="B244" s="1" t="n">
        <v>45212</v>
      </c>
      <c r="C244" s="1" t="n">
        <v>45785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50712-2023</t>
        </is>
      </c>
      <c r="B245" s="1" t="n">
        <v>45217</v>
      </c>
      <c r="C245" s="1" t="n">
        <v>45785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50710-2023</t>
        </is>
      </c>
      <c r="B246" s="1" t="n">
        <v>45217</v>
      </c>
      <c r="C246" s="1" t="n">
        <v>45785</v>
      </c>
      <c r="D246" t="inlineStr">
        <is>
          <t>JÖNKÖPINGS LÄN</t>
        </is>
      </c>
      <c r="E246" t="inlineStr">
        <is>
          <t>HABO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</v>
      </c>
      <c r="C247" s="1" t="n">
        <v>45785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</v>
      </c>
      <c r="C248" s="1" t="n">
        <v>45785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51588-2023</t>
        </is>
      </c>
      <c r="B249" s="1" t="n">
        <v>45222</v>
      </c>
      <c r="C249" s="1" t="n">
        <v>45785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51592-2023</t>
        </is>
      </c>
      <c r="B250" s="1" t="n">
        <v>45222</v>
      </c>
      <c r="C250" s="1" t="n">
        <v>45785</v>
      </c>
      <c r="D250" t="inlineStr">
        <is>
          <t>JÖNKÖPINGS LÄN</t>
        </is>
      </c>
      <c r="E250" t="inlineStr">
        <is>
          <t>HABO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54693-2023</t>
        </is>
      </c>
      <c r="B251" s="1" t="n">
        <v>45236</v>
      </c>
      <c r="C251" s="1" t="n">
        <v>45785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56288-2023</t>
        </is>
      </c>
      <c r="B252" s="1" t="n">
        <v>45242</v>
      </c>
      <c r="C252" s="1" t="n">
        <v>45785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</v>
      </c>
      <c r="C253" s="1" t="n">
        <v>45785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45785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45785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45785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45785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45785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45785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45785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45785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45785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45785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45785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45785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45785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45785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45785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45785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45785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45785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45785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45785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45785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45785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45785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45785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45785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45785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45785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45785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45785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45785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45785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45785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45785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45785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45785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45785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45785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45785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45785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45785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45785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45785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45785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45785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45785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45785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45785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45785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45785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45785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45785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45785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45785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45785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45785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45785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45785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45785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45785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45785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45785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45785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45785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45785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45785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45785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45785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45785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45785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45785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45785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45785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45785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45785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45785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45785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45785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45785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45785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45785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45785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45785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45785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45785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45785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45785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45785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45785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45785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45785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45785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45785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45785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45785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45785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45785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45785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45785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45785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45785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45785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45785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45785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45785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45785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45785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45785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45785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45785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45785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45785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45785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45785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45785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45785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45785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45785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45785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45785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45785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45785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45785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45785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45785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45785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45785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45785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45785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45785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45785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45785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45785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45785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45785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45785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45785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45785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45785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45785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45785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45785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45785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45785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45785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45785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45785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45785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45785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45785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45785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45785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45785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45785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45785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45785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45785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45785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45785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45785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45785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45785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45785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45785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45785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45785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45785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45785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45785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45785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45785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45785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45785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45785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17941-2025</t>
        </is>
      </c>
      <c r="B427" s="1" t="n">
        <v>45760</v>
      </c>
      <c r="C427" s="1" t="n">
        <v>45785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21073-2025</t>
        </is>
      </c>
      <c r="B428" s="1" t="n">
        <v>45777</v>
      </c>
      <c r="C428" s="1" t="n">
        <v>45785</v>
      </c>
      <c r="D428" t="inlineStr">
        <is>
          <t>JÖNKÖPINGS LÄN</t>
        </is>
      </c>
      <c r="E428" t="inlineStr">
        <is>
          <t>HABO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21072-2025</t>
        </is>
      </c>
      <c r="B429" s="1" t="n">
        <v>45777</v>
      </c>
      <c r="C429" s="1" t="n">
        <v>45785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2025-05-08T17:52:47Z</dcterms:created>
  <dcterms:modified xmlns:dcterms="http://purl.org/dc/terms/" xmlns:xsi="http://www.w3.org/2001/XMLSchema-instance" xsi:type="dcterms:W3CDTF">2025-05-08T17:52:47Z</dcterms:modified>
</cp:coreProperties>
</file>