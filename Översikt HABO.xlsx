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46084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46084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46084</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46084</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46084</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46084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46084</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26880-2025</t>
        </is>
      </c>
      <c r="B10" s="1" t="n">
        <v>45810.83770833333</v>
      </c>
      <c r="C10" s="1" t="n">
        <v>46084</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55371-2024</t>
        </is>
      </c>
      <c r="B11" s="1" t="n">
        <v>45621.90853009259</v>
      </c>
      <c r="C11" s="1" t="n">
        <v>46084</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46084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46084</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26934-2025</t>
        </is>
      </c>
      <c r="B14" s="1" t="n">
        <v>45811</v>
      </c>
      <c r="C14" s="1" t="n">
        <v>46084</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46084</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46084</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46084</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28842-2022</t>
        </is>
      </c>
      <c r="B18" s="1" t="n">
        <v>44749</v>
      </c>
      <c r="C18" s="1" t="n">
        <v>46084</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58667-2024</t>
        </is>
      </c>
      <c r="B19" s="1" t="n">
        <v>45635.60858796296</v>
      </c>
      <c r="C19" s="1" t="n">
        <v>46084</v>
      </c>
      <c r="D19" t="inlineStr">
        <is>
          <t>JÖNKÖPINGS LÄN</t>
        </is>
      </c>
      <c r="E19" t="inlineStr">
        <is>
          <t>HABO</t>
        </is>
      </c>
      <c r="G19" t="n">
        <v>1.8</v>
      </c>
      <c r="H19" t="n">
        <v>0</v>
      </c>
      <c r="I19" t="n">
        <v>0</v>
      </c>
      <c r="J19" t="n">
        <v>2</v>
      </c>
      <c r="K19" t="n">
        <v>0</v>
      </c>
      <c r="L19" t="n">
        <v>0</v>
      </c>
      <c r="M19" t="n">
        <v>0</v>
      </c>
      <c r="N19" t="n">
        <v>0</v>
      </c>
      <c r="O19" t="n">
        <v>2</v>
      </c>
      <c r="P19" t="n">
        <v>0</v>
      </c>
      <c r="Q19" t="n">
        <v>2</v>
      </c>
      <c r="R19" s="2" t="inlineStr">
        <is>
          <t>Motaggsvamp
Vaddporing</t>
        </is>
      </c>
      <c r="S19">
        <f>HYPERLINK("https://klasma.github.io/Logging_0643/artfynd/A 58667-2024 artfynd.xlsx", "A 58667-2024")</f>
        <v/>
      </c>
      <c r="T19">
        <f>HYPERLINK("https://klasma.github.io/Logging_0643/kartor/A 58667-2024 karta.png", "A 58667-2024")</f>
        <v/>
      </c>
      <c r="U19">
        <f>HYPERLINK("https://klasma.github.io/Logging_0643/knärot/A 58667-2024 karta knärot.png", "A 58667-2024")</f>
        <v/>
      </c>
      <c r="V19">
        <f>HYPERLINK("https://klasma.github.io/Logging_0643/klagomål/A 58667-2024 FSC-klagomål.docx", "A 58667-2024")</f>
        <v/>
      </c>
      <c r="W19">
        <f>HYPERLINK("https://klasma.github.io/Logging_0643/klagomålsmail/A 58667-2024 FSC-klagomål mail.docx", "A 58667-2024")</f>
        <v/>
      </c>
      <c r="X19">
        <f>HYPERLINK("https://klasma.github.io/Logging_0643/tillsyn/A 58667-2024 tillsynsbegäran.docx", "A 58667-2024")</f>
        <v/>
      </c>
      <c r="Y19">
        <f>HYPERLINK("https://klasma.github.io/Logging_0643/tillsynsmail/A 58667-2024 tillsynsbegäran mail.docx", "A 58667-2024")</f>
        <v/>
      </c>
    </row>
    <row r="20" ht="15" customHeight="1">
      <c r="A20" t="inlineStr">
        <is>
          <t>A 58644-2024</t>
        </is>
      </c>
      <c r="B20" s="1" t="n">
        <v>45635.58991898148</v>
      </c>
      <c r="C20" s="1" t="n">
        <v>46084</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14713-2025</t>
        </is>
      </c>
      <c r="B21" s="1" t="n">
        <v>45742.61011574074</v>
      </c>
      <c r="C21" s="1" t="n">
        <v>46084</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46084</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26520-2025</t>
        </is>
      </c>
      <c r="B23" s="1" t="n">
        <v>45807.56219907408</v>
      </c>
      <c r="C23" s="1" t="n">
        <v>46084</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52417-2023</t>
        </is>
      </c>
      <c r="B24" s="1" t="n">
        <v>45225</v>
      </c>
      <c r="C24" s="1" t="n">
        <v>46084</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46084</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38055-2025</t>
        </is>
      </c>
      <c r="B26" s="1" t="n">
        <v>45882</v>
      </c>
      <c r="C26" s="1" t="n">
        <v>46084</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53298-2022</t>
        </is>
      </c>
      <c r="B27" s="1" t="n">
        <v>44877</v>
      </c>
      <c r="C27" s="1" t="n">
        <v>46084</v>
      </c>
      <c r="D27" t="inlineStr">
        <is>
          <t>JÖNKÖPINGS LÄN</t>
        </is>
      </c>
      <c r="E27" t="inlineStr">
        <is>
          <t>HABO</t>
        </is>
      </c>
      <c r="G27" t="n">
        <v>2.5</v>
      </c>
      <c r="H27" t="n">
        <v>0</v>
      </c>
      <c r="I27" t="n">
        <v>1</v>
      </c>
      <c r="J27" t="n">
        <v>0</v>
      </c>
      <c r="K27" t="n">
        <v>0</v>
      </c>
      <c r="L27" t="n">
        <v>0</v>
      </c>
      <c r="M27" t="n">
        <v>0</v>
      </c>
      <c r="N27" t="n">
        <v>0</v>
      </c>
      <c r="O27" t="n">
        <v>0</v>
      </c>
      <c r="P27" t="n">
        <v>0</v>
      </c>
      <c r="Q27" t="n">
        <v>1</v>
      </c>
      <c r="R27" s="2" t="inlineStr">
        <is>
          <t>Skarp dropptaggsvamp</t>
        </is>
      </c>
      <c r="S27">
        <f>HYPERLINK("https://klasma.github.io/Logging_0643/artfynd/A 53298-2022 artfynd.xlsx", "A 53298-2022")</f>
        <v/>
      </c>
      <c r="T27">
        <f>HYPERLINK("https://klasma.github.io/Logging_0643/kartor/A 53298-2022 karta.png", "A 53298-2022")</f>
        <v/>
      </c>
      <c r="V27">
        <f>HYPERLINK("https://klasma.github.io/Logging_0643/klagomål/A 53298-2022 FSC-klagomål.docx", "A 53298-2022")</f>
        <v/>
      </c>
      <c r="W27">
        <f>HYPERLINK("https://klasma.github.io/Logging_0643/klagomålsmail/A 53298-2022 FSC-klagomål mail.docx", "A 53298-2022")</f>
        <v/>
      </c>
      <c r="X27">
        <f>HYPERLINK("https://klasma.github.io/Logging_0643/tillsyn/A 53298-2022 tillsynsbegäran.docx", "A 53298-2022")</f>
        <v/>
      </c>
      <c r="Y27">
        <f>HYPERLINK("https://klasma.github.io/Logging_0643/tillsynsmail/A 53298-2022 tillsynsbegäran mail.docx", "A 53298-2022")</f>
        <v/>
      </c>
    </row>
    <row r="28" ht="15" customHeight="1">
      <c r="A28" t="inlineStr">
        <is>
          <t>A 44439-2023</t>
        </is>
      </c>
      <c r="B28" s="1" t="n">
        <v>45183</v>
      </c>
      <c r="C28" s="1" t="n">
        <v>46084</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46084</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46084</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46084</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46084</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46084</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46084</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46084</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46084</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10964-2021</t>
        </is>
      </c>
      <c r="B37" s="1" t="n">
        <v>44260.38792824074</v>
      </c>
      <c r="C37" s="1" t="n">
        <v>46084</v>
      </c>
      <c r="D37" t="inlineStr">
        <is>
          <t>JÖNKÖPINGS LÄN</t>
        </is>
      </c>
      <c r="E37" t="inlineStr">
        <is>
          <t>HABO</t>
        </is>
      </c>
      <c r="G37" t="n">
        <v>1.2</v>
      </c>
      <c r="H37" t="n">
        <v>0</v>
      </c>
      <c r="I37" t="n">
        <v>0</v>
      </c>
      <c r="J37" t="n">
        <v>0</v>
      </c>
      <c r="K37" t="n">
        <v>0</v>
      </c>
      <c r="L37" t="n">
        <v>0</v>
      </c>
      <c r="M37" t="n">
        <v>0</v>
      </c>
      <c r="N37" t="n">
        <v>0</v>
      </c>
      <c r="O37" t="n">
        <v>0</v>
      </c>
      <c r="P37" t="n">
        <v>0</v>
      </c>
      <c r="Q37" t="n">
        <v>0</v>
      </c>
      <c r="R37" s="2" t="inlineStr"/>
    </row>
    <row r="38" ht="15" customHeight="1">
      <c r="A38" t="inlineStr">
        <is>
          <t>A 40646-2022</t>
        </is>
      </c>
      <c r="B38" s="1" t="n">
        <v>44824</v>
      </c>
      <c r="C38" s="1" t="n">
        <v>46084</v>
      </c>
      <c r="D38" t="inlineStr">
        <is>
          <t>JÖNKÖPINGS LÄN</t>
        </is>
      </c>
      <c r="E38" t="inlineStr">
        <is>
          <t>HABO</t>
        </is>
      </c>
      <c r="G38" t="n">
        <v>0.9</v>
      </c>
      <c r="H38" t="n">
        <v>0</v>
      </c>
      <c r="I38" t="n">
        <v>0</v>
      </c>
      <c r="J38" t="n">
        <v>0</v>
      </c>
      <c r="K38" t="n">
        <v>0</v>
      </c>
      <c r="L38" t="n">
        <v>0</v>
      </c>
      <c r="M38" t="n">
        <v>0</v>
      </c>
      <c r="N38" t="n">
        <v>0</v>
      </c>
      <c r="O38" t="n">
        <v>0</v>
      </c>
      <c r="P38" t="n">
        <v>0</v>
      </c>
      <c r="Q38" t="n">
        <v>0</v>
      </c>
      <c r="R38" s="2" t="inlineStr"/>
    </row>
    <row r="39" ht="15" customHeight="1">
      <c r="A39" t="inlineStr">
        <is>
          <t>A 45803-2022</t>
        </is>
      </c>
      <c r="B39" s="1" t="n">
        <v>44846</v>
      </c>
      <c r="C39" s="1" t="n">
        <v>46084</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41211-2021</t>
        </is>
      </c>
      <c r="B40" s="1" t="n">
        <v>44424.39243055556</v>
      </c>
      <c r="C40" s="1" t="n">
        <v>46084</v>
      </c>
      <c r="D40" t="inlineStr">
        <is>
          <t>JÖNKÖPINGS LÄN</t>
        </is>
      </c>
      <c r="E40" t="inlineStr">
        <is>
          <t>HABO</t>
        </is>
      </c>
      <c r="G40" t="n">
        <v>4</v>
      </c>
      <c r="H40" t="n">
        <v>0</v>
      </c>
      <c r="I40" t="n">
        <v>0</v>
      </c>
      <c r="J40" t="n">
        <v>0</v>
      </c>
      <c r="K40" t="n">
        <v>0</v>
      </c>
      <c r="L40" t="n">
        <v>0</v>
      </c>
      <c r="M40" t="n">
        <v>0</v>
      </c>
      <c r="N40" t="n">
        <v>0</v>
      </c>
      <c r="O40" t="n">
        <v>0</v>
      </c>
      <c r="P40" t="n">
        <v>0</v>
      </c>
      <c r="Q40" t="n">
        <v>0</v>
      </c>
      <c r="R40" s="2" t="inlineStr"/>
    </row>
    <row r="41" ht="15" customHeight="1">
      <c r="A41" t="inlineStr">
        <is>
          <t>A 29865-2021</t>
        </is>
      </c>
      <c r="B41" s="1" t="n">
        <v>44362</v>
      </c>
      <c r="C41" s="1" t="n">
        <v>46084</v>
      </c>
      <c r="D41" t="inlineStr">
        <is>
          <t>JÖNKÖPINGS LÄN</t>
        </is>
      </c>
      <c r="E41" t="inlineStr">
        <is>
          <t>HABO</t>
        </is>
      </c>
      <c r="G41" t="n">
        <v>0.7</v>
      </c>
      <c r="H41" t="n">
        <v>0</v>
      </c>
      <c r="I41" t="n">
        <v>0</v>
      </c>
      <c r="J41" t="n">
        <v>0</v>
      </c>
      <c r="K41" t="n">
        <v>0</v>
      </c>
      <c r="L41" t="n">
        <v>0</v>
      </c>
      <c r="M41" t="n">
        <v>0</v>
      </c>
      <c r="N41" t="n">
        <v>0</v>
      </c>
      <c r="O41" t="n">
        <v>0</v>
      </c>
      <c r="P41" t="n">
        <v>0</v>
      </c>
      <c r="Q41" t="n">
        <v>0</v>
      </c>
      <c r="R41" s="2" t="inlineStr"/>
    </row>
    <row r="42" ht="15" customHeight="1">
      <c r="A42" t="inlineStr">
        <is>
          <t>A 41217-2021</t>
        </is>
      </c>
      <c r="B42" s="1" t="n">
        <v>44424.40524305555</v>
      </c>
      <c r="C42" s="1" t="n">
        <v>46084</v>
      </c>
      <c r="D42" t="inlineStr">
        <is>
          <t>JÖNKÖPINGS LÄN</t>
        </is>
      </c>
      <c r="E42" t="inlineStr">
        <is>
          <t>HABO</t>
        </is>
      </c>
      <c r="G42" t="n">
        <v>3.9</v>
      </c>
      <c r="H42" t="n">
        <v>0</v>
      </c>
      <c r="I42" t="n">
        <v>0</v>
      </c>
      <c r="J42" t="n">
        <v>0</v>
      </c>
      <c r="K42" t="n">
        <v>0</v>
      </c>
      <c r="L42" t="n">
        <v>0</v>
      </c>
      <c r="M42" t="n">
        <v>0</v>
      </c>
      <c r="N42" t="n">
        <v>0</v>
      </c>
      <c r="O42" t="n">
        <v>0</v>
      </c>
      <c r="P42" t="n">
        <v>0</v>
      </c>
      <c r="Q42" t="n">
        <v>0</v>
      </c>
      <c r="R42" s="2" t="inlineStr"/>
    </row>
    <row r="43" ht="15" customHeight="1">
      <c r="A43" t="inlineStr">
        <is>
          <t>A 19569-2022</t>
        </is>
      </c>
      <c r="B43" s="1" t="n">
        <v>44693</v>
      </c>
      <c r="C43" s="1" t="n">
        <v>46084</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53301-2022</t>
        </is>
      </c>
      <c r="B44" s="1" t="n">
        <v>44877.83546296296</v>
      </c>
      <c r="C44" s="1" t="n">
        <v>46084</v>
      </c>
      <c r="D44" t="inlineStr">
        <is>
          <t>JÖNKÖPINGS LÄN</t>
        </is>
      </c>
      <c r="E44" t="inlineStr">
        <is>
          <t>HABO</t>
        </is>
      </c>
      <c r="G44" t="n">
        <v>0.6</v>
      </c>
      <c r="H44" t="n">
        <v>0</v>
      </c>
      <c r="I44" t="n">
        <v>0</v>
      </c>
      <c r="J44" t="n">
        <v>0</v>
      </c>
      <c r="K44" t="n">
        <v>0</v>
      </c>
      <c r="L44" t="n">
        <v>0</v>
      </c>
      <c r="M44" t="n">
        <v>0</v>
      </c>
      <c r="N44" t="n">
        <v>0</v>
      </c>
      <c r="O44" t="n">
        <v>0</v>
      </c>
      <c r="P44" t="n">
        <v>0</v>
      </c>
      <c r="Q44" t="n">
        <v>0</v>
      </c>
      <c r="R44" s="2" t="inlineStr"/>
    </row>
    <row r="45" ht="15" customHeight="1">
      <c r="A45" t="inlineStr">
        <is>
          <t>A 19570-2022</t>
        </is>
      </c>
      <c r="B45" s="1" t="n">
        <v>44693</v>
      </c>
      <c r="C45" s="1" t="n">
        <v>46084</v>
      </c>
      <c r="D45" t="inlineStr">
        <is>
          <t>JÖNKÖPINGS LÄN</t>
        </is>
      </c>
      <c r="E45" t="inlineStr">
        <is>
          <t>HABO</t>
        </is>
      </c>
      <c r="G45" t="n">
        <v>1.1</v>
      </c>
      <c r="H45" t="n">
        <v>0</v>
      </c>
      <c r="I45" t="n">
        <v>0</v>
      </c>
      <c r="J45" t="n">
        <v>0</v>
      </c>
      <c r="K45" t="n">
        <v>0</v>
      </c>
      <c r="L45" t="n">
        <v>0</v>
      </c>
      <c r="M45" t="n">
        <v>0</v>
      </c>
      <c r="N45" t="n">
        <v>0</v>
      </c>
      <c r="O45" t="n">
        <v>0</v>
      </c>
      <c r="P45" t="n">
        <v>0</v>
      </c>
      <c r="Q45" t="n">
        <v>0</v>
      </c>
      <c r="R45" s="2" t="inlineStr"/>
    </row>
    <row r="46" ht="15" customHeight="1">
      <c r="A46" t="inlineStr">
        <is>
          <t>A 12592-2022</t>
        </is>
      </c>
      <c r="B46" s="1" t="n">
        <v>44640</v>
      </c>
      <c r="C46" s="1" t="n">
        <v>46084</v>
      </c>
      <c r="D46" t="inlineStr">
        <is>
          <t>JÖNKÖPINGS LÄN</t>
        </is>
      </c>
      <c r="E46" t="inlineStr">
        <is>
          <t>HABO</t>
        </is>
      </c>
      <c r="G46" t="n">
        <v>1.7</v>
      </c>
      <c r="H46" t="n">
        <v>0</v>
      </c>
      <c r="I46" t="n">
        <v>0</v>
      </c>
      <c r="J46" t="n">
        <v>0</v>
      </c>
      <c r="K46" t="n">
        <v>0</v>
      </c>
      <c r="L46" t="n">
        <v>0</v>
      </c>
      <c r="M46" t="n">
        <v>0</v>
      </c>
      <c r="N46" t="n">
        <v>0</v>
      </c>
      <c r="O46" t="n">
        <v>0</v>
      </c>
      <c r="P46" t="n">
        <v>0</v>
      </c>
      <c r="Q46" t="n">
        <v>0</v>
      </c>
      <c r="R46" s="2" t="inlineStr"/>
    </row>
    <row r="47" ht="15" customHeight="1">
      <c r="A47" t="inlineStr">
        <is>
          <t>A 41213-2021</t>
        </is>
      </c>
      <c r="B47" s="1" t="n">
        <v>44424.39822916667</v>
      </c>
      <c r="C47" s="1" t="n">
        <v>46084</v>
      </c>
      <c r="D47" t="inlineStr">
        <is>
          <t>JÖNKÖPINGS LÄN</t>
        </is>
      </c>
      <c r="E47" t="inlineStr">
        <is>
          <t>HABO</t>
        </is>
      </c>
      <c r="G47" t="n">
        <v>2.1</v>
      </c>
      <c r="H47" t="n">
        <v>0</v>
      </c>
      <c r="I47" t="n">
        <v>0</v>
      </c>
      <c r="J47" t="n">
        <v>0</v>
      </c>
      <c r="K47" t="n">
        <v>0</v>
      </c>
      <c r="L47" t="n">
        <v>0</v>
      </c>
      <c r="M47" t="n">
        <v>0</v>
      </c>
      <c r="N47" t="n">
        <v>0</v>
      </c>
      <c r="O47" t="n">
        <v>0</v>
      </c>
      <c r="P47" t="n">
        <v>0</v>
      </c>
      <c r="Q47" t="n">
        <v>0</v>
      </c>
      <c r="R47" s="2" t="inlineStr"/>
    </row>
    <row r="48" ht="15" customHeight="1">
      <c r="A48" t="inlineStr">
        <is>
          <t>A 41216-2021</t>
        </is>
      </c>
      <c r="B48" s="1" t="n">
        <v>44424.40296296297</v>
      </c>
      <c r="C48" s="1" t="n">
        <v>46084</v>
      </c>
      <c r="D48" t="inlineStr">
        <is>
          <t>JÖNKÖPINGS LÄN</t>
        </is>
      </c>
      <c r="E48" t="inlineStr">
        <is>
          <t>HABO</t>
        </is>
      </c>
      <c r="G48" t="n">
        <v>3</v>
      </c>
      <c r="H48" t="n">
        <v>0</v>
      </c>
      <c r="I48" t="n">
        <v>0</v>
      </c>
      <c r="J48" t="n">
        <v>0</v>
      </c>
      <c r="K48" t="n">
        <v>0</v>
      </c>
      <c r="L48" t="n">
        <v>0</v>
      </c>
      <c r="M48" t="n">
        <v>0</v>
      </c>
      <c r="N48" t="n">
        <v>0</v>
      </c>
      <c r="O48" t="n">
        <v>0</v>
      </c>
      <c r="P48" t="n">
        <v>0</v>
      </c>
      <c r="Q48" t="n">
        <v>0</v>
      </c>
      <c r="R48" s="2" t="inlineStr"/>
    </row>
    <row r="49" ht="15" customHeight="1">
      <c r="A49" t="inlineStr">
        <is>
          <t>A 34734-2021</t>
        </is>
      </c>
      <c r="B49" s="1" t="n">
        <v>44382</v>
      </c>
      <c r="C49" s="1" t="n">
        <v>46084</v>
      </c>
      <c r="D49" t="inlineStr">
        <is>
          <t>JÖNKÖPINGS LÄN</t>
        </is>
      </c>
      <c r="E49" t="inlineStr">
        <is>
          <t>HABO</t>
        </is>
      </c>
      <c r="G49" t="n">
        <v>7.4</v>
      </c>
      <c r="H49" t="n">
        <v>0</v>
      </c>
      <c r="I49" t="n">
        <v>0</v>
      </c>
      <c r="J49" t="n">
        <v>0</v>
      </c>
      <c r="K49" t="n">
        <v>0</v>
      </c>
      <c r="L49" t="n">
        <v>0</v>
      </c>
      <c r="M49" t="n">
        <v>0</v>
      </c>
      <c r="N49" t="n">
        <v>0</v>
      </c>
      <c r="O49" t="n">
        <v>0</v>
      </c>
      <c r="P49" t="n">
        <v>0</v>
      </c>
      <c r="Q49" t="n">
        <v>0</v>
      </c>
      <c r="R49" s="2" t="inlineStr"/>
    </row>
    <row r="50" ht="15" customHeight="1">
      <c r="A50" t="inlineStr">
        <is>
          <t>A 42361-2021</t>
        </is>
      </c>
      <c r="B50" s="1" t="n">
        <v>44427.45282407408</v>
      </c>
      <c r="C50" s="1" t="n">
        <v>46084</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16307-2022</t>
        </is>
      </c>
      <c r="B51" s="1" t="n">
        <v>44670.58172453703</v>
      </c>
      <c r="C51" s="1" t="n">
        <v>46084</v>
      </c>
      <c r="D51" t="inlineStr">
        <is>
          <t>JÖNKÖPINGS LÄN</t>
        </is>
      </c>
      <c r="E51" t="inlineStr">
        <is>
          <t>HABO</t>
        </is>
      </c>
      <c r="G51" t="n">
        <v>5.7</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46084</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48739-2022</t>
        </is>
      </c>
      <c r="B53" s="1" t="n">
        <v>44859</v>
      </c>
      <c r="C53" s="1" t="n">
        <v>46084</v>
      </c>
      <c r="D53" t="inlineStr">
        <is>
          <t>JÖNKÖPINGS LÄN</t>
        </is>
      </c>
      <c r="E53" t="inlineStr">
        <is>
          <t>HABO</t>
        </is>
      </c>
      <c r="G53" t="n">
        <v>0.2</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46084</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27795-2024</t>
        </is>
      </c>
      <c r="B55" s="1" t="n">
        <v>45475.55986111111</v>
      </c>
      <c r="C55" s="1" t="n">
        <v>46084</v>
      </c>
      <c r="D55" t="inlineStr">
        <is>
          <t>JÖNKÖPINGS LÄN</t>
        </is>
      </c>
      <c r="E55" t="inlineStr">
        <is>
          <t>HABO</t>
        </is>
      </c>
      <c r="G55" t="n">
        <v>1.3</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46084</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46084</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61399-2021</t>
        </is>
      </c>
      <c r="B58" s="1" t="n">
        <v>44500</v>
      </c>
      <c r="C58" s="1" t="n">
        <v>46084</v>
      </c>
      <c r="D58" t="inlineStr">
        <is>
          <t>JÖNKÖPINGS LÄN</t>
        </is>
      </c>
      <c r="E58" t="inlineStr">
        <is>
          <t>HABO</t>
        </is>
      </c>
      <c r="G58" t="n">
        <v>0.3</v>
      </c>
      <c r="H58" t="n">
        <v>0</v>
      </c>
      <c r="I58" t="n">
        <v>0</v>
      </c>
      <c r="J58" t="n">
        <v>0</v>
      </c>
      <c r="K58" t="n">
        <v>0</v>
      </c>
      <c r="L58" t="n">
        <v>0</v>
      </c>
      <c r="M58" t="n">
        <v>0</v>
      </c>
      <c r="N58" t="n">
        <v>0</v>
      </c>
      <c r="O58" t="n">
        <v>0</v>
      </c>
      <c r="P58" t="n">
        <v>0</v>
      </c>
      <c r="Q58" t="n">
        <v>0</v>
      </c>
      <c r="R58" s="2" t="inlineStr"/>
    </row>
    <row r="59" ht="15" customHeight="1">
      <c r="A59" t="inlineStr">
        <is>
          <t>A 32252-2023</t>
        </is>
      </c>
      <c r="B59" s="1" t="n">
        <v>45120</v>
      </c>
      <c r="C59" s="1" t="n">
        <v>46084</v>
      </c>
      <c r="D59" t="inlineStr">
        <is>
          <t>JÖNKÖPINGS LÄN</t>
        </is>
      </c>
      <c r="E59" t="inlineStr">
        <is>
          <t>HABO</t>
        </is>
      </c>
      <c r="G59" t="n">
        <v>1</v>
      </c>
      <c r="H59" t="n">
        <v>0</v>
      </c>
      <c r="I59" t="n">
        <v>0</v>
      </c>
      <c r="J59" t="n">
        <v>0</v>
      </c>
      <c r="K59" t="n">
        <v>0</v>
      </c>
      <c r="L59" t="n">
        <v>0</v>
      </c>
      <c r="M59" t="n">
        <v>0</v>
      </c>
      <c r="N59" t="n">
        <v>0</v>
      </c>
      <c r="O59" t="n">
        <v>0</v>
      </c>
      <c r="P59" t="n">
        <v>0</v>
      </c>
      <c r="Q59" t="n">
        <v>0</v>
      </c>
      <c r="R59" s="2" t="inlineStr"/>
    </row>
    <row r="60" ht="15" customHeight="1">
      <c r="A60" t="inlineStr">
        <is>
          <t>A 24701-2022</t>
        </is>
      </c>
      <c r="B60" s="1" t="n">
        <v>44727</v>
      </c>
      <c r="C60" s="1" t="n">
        <v>46084</v>
      </c>
      <c r="D60" t="inlineStr">
        <is>
          <t>JÖNKÖPINGS LÄN</t>
        </is>
      </c>
      <c r="E60" t="inlineStr">
        <is>
          <t>HABO</t>
        </is>
      </c>
      <c r="G60" t="n">
        <v>12.4</v>
      </c>
      <c r="H60" t="n">
        <v>0</v>
      </c>
      <c r="I60" t="n">
        <v>0</v>
      </c>
      <c r="J60" t="n">
        <v>0</v>
      </c>
      <c r="K60" t="n">
        <v>0</v>
      </c>
      <c r="L60" t="n">
        <v>0</v>
      </c>
      <c r="M60" t="n">
        <v>0</v>
      </c>
      <c r="N60" t="n">
        <v>0</v>
      </c>
      <c r="O60" t="n">
        <v>0</v>
      </c>
      <c r="P60" t="n">
        <v>0</v>
      </c>
      <c r="Q60" t="n">
        <v>0</v>
      </c>
      <c r="R60" s="2" t="inlineStr"/>
    </row>
    <row r="61" ht="15" customHeight="1">
      <c r="A61" t="inlineStr">
        <is>
          <t>A 26502-2021</t>
        </is>
      </c>
      <c r="B61" s="1" t="n">
        <v>44348.44641203704</v>
      </c>
      <c r="C61" s="1" t="n">
        <v>46084</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2374-2024</t>
        </is>
      </c>
      <c r="B62" s="1" t="n">
        <v>45310.62752314815</v>
      </c>
      <c r="C62" s="1" t="n">
        <v>46084</v>
      </c>
      <c r="D62" t="inlineStr">
        <is>
          <t>JÖNKÖPINGS LÄN</t>
        </is>
      </c>
      <c r="E62" t="inlineStr">
        <is>
          <t>HABO</t>
        </is>
      </c>
      <c r="G62" t="n">
        <v>6.8</v>
      </c>
      <c r="H62" t="n">
        <v>0</v>
      </c>
      <c r="I62" t="n">
        <v>0</v>
      </c>
      <c r="J62" t="n">
        <v>0</v>
      </c>
      <c r="K62" t="n">
        <v>0</v>
      </c>
      <c r="L62" t="n">
        <v>0</v>
      </c>
      <c r="M62" t="n">
        <v>0</v>
      </c>
      <c r="N62" t="n">
        <v>0</v>
      </c>
      <c r="O62" t="n">
        <v>0</v>
      </c>
      <c r="P62" t="n">
        <v>0</v>
      </c>
      <c r="Q62" t="n">
        <v>0</v>
      </c>
      <c r="R62" s="2" t="inlineStr"/>
    </row>
    <row r="63" ht="15" customHeight="1">
      <c r="A63" t="inlineStr">
        <is>
          <t>A 28690-2024</t>
        </is>
      </c>
      <c r="B63" s="1" t="n">
        <v>45478.49003472222</v>
      </c>
      <c r="C63" s="1" t="n">
        <v>46084</v>
      </c>
      <c r="D63" t="inlineStr">
        <is>
          <t>JÖNKÖPINGS LÄN</t>
        </is>
      </c>
      <c r="E63" t="inlineStr">
        <is>
          <t>HABO</t>
        </is>
      </c>
      <c r="G63" t="n">
        <v>1.4</v>
      </c>
      <c r="H63" t="n">
        <v>0</v>
      </c>
      <c r="I63" t="n">
        <v>0</v>
      </c>
      <c r="J63" t="n">
        <v>0</v>
      </c>
      <c r="K63" t="n">
        <v>0</v>
      </c>
      <c r="L63" t="n">
        <v>0</v>
      </c>
      <c r="M63" t="n">
        <v>0</v>
      </c>
      <c r="N63" t="n">
        <v>0</v>
      </c>
      <c r="O63" t="n">
        <v>0</v>
      </c>
      <c r="P63" t="n">
        <v>0</v>
      </c>
      <c r="Q63" t="n">
        <v>0</v>
      </c>
      <c r="R63" s="2" t="inlineStr"/>
    </row>
    <row r="64" ht="15" customHeight="1">
      <c r="A64" t="inlineStr">
        <is>
          <t>A 21072-2025</t>
        </is>
      </c>
      <c r="B64" s="1" t="n">
        <v>45777.59802083333</v>
      </c>
      <c r="C64" s="1" t="n">
        <v>46084</v>
      </c>
      <c r="D64" t="inlineStr">
        <is>
          <t>JÖNKÖPINGS LÄN</t>
        </is>
      </c>
      <c r="E64" t="inlineStr">
        <is>
          <t>HABO</t>
        </is>
      </c>
      <c r="G64" t="n">
        <v>1.3</v>
      </c>
      <c r="H64" t="n">
        <v>0</v>
      </c>
      <c r="I64" t="n">
        <v>0</v>
      </c>
      <c r="J64" t="n">
        <v>0</v>
      </c>
      <c r="K64" t="n">
        <v>0</v>
      </c>
      <c r="L64" t="n">
        <v>0</v>
      </c>
      <c r="M64" t="n">
        <v>0</v>
      </c>
      <c r="N64" t="n">
        <v>0</v>
      </c>
      <c r="O64" t="n">
        <v>0</v>
      </c>
      <c r="P64" t="n">
        <v>0</v>
      </c>
      <c r="Q64" t="n">
        <v>0</v>
      </c>
      <c r="R64" s="2" t="inlineStr"/>
    </row>
    <row r="65" ht="15" customHeight="1">
      <c r="A65" t="inlineStr">
        <is>
          <t>A 21073-2025</t>
        </is>
      </c>
      <c r="B65" s="1" t="n">
        <v>45777.59881944444</v>
      </c>
      <c r="C65" s="1" t="n">
        <v>46084</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15517-2023</t>
        </is>
      </c>
      <c r="B66" s="1" t="n">
        <v>45020</v>
      </c>
      <c r="C66" s="1" t="n">
        <v>46084</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15587-2025</t>
        </is>
      </c>
      <c r="B67" s="1" t="n">
        <v>45747</v>
      </c>
      <c r="C67" s="1" t="n">
        <v>46084</v>
      </c>
      <c r="D67" t="inlineStr">
        <is>
          <t>JÖNKÖPINGS LÄN</t>
        </is>
      </c>
      <c r="E67" t="inlineStr">
        <is>
          <t>HABO</t>
        </is>
      </c>
      <c r="G67" t="n">
        <v>1.7</v>
      </c>
      <c r="H67" t="n">
        <v>0</v>
      </c>
      <c r="I67" t="n">
        <v>0</v>
      </c>
      <c r="J67" t="n">
        <v>0</v>
      </c>
      <c r="K67" t="n">
        <v>0</v>
      </c>
      <c r="L67" t="n">
        <v>0</v>
      </c>
      <c r="M67" t="n">
        <v>0</v>
      </c>
      <c r="N67" t="n">
        <v>0</v>
      </c>
      <c r="O67" t="n">
        <v>0</v>
      </c>
      <c r="P67" t="n">
        <v>0</v>
      </c>
      <c r="Q67" t="n">
        <v>0</v>
      </c>
      <c r="R67" s="2" t="inlineStr"/>
    </row>
    <row r="68" ht="15" customHeight="1">
      <c r="A68" t="inlineStr">
        <is>
          <t>A 6230-2025</t>
        </is>
      </c>
      <c r="B68" s="1" t="n">
        <v>45698.55018518519</v>
      </c>
      <c r="C68" s="1" t="n">
        <v>46084</v>
      </c>
      <c r="D68" t="inlineStr">
        <is>
          <t>JÖNKÖPINGS LÄN</t>
        </is>
      </c>
      <c r="E68" t="inlineStr">
        <is>
          <t>HABO</t>
        </is>
      </c>
      <c r="G68" t="n">
        <v>1.3</v>
      </c>
      <c r="H68" t="n">
        <v>0</v>
      </c>
      <c r="I68" t="n">
        <v>0</v>
      </c>
      <c r="J68" t="n">
        <v>0</v>
      </c>
      <c r="K68" t="n">
        <v>0</v>
      </c>
      <c r="L68" t="n">
        <v>0</v>
      </c>
      <c r="M68" t="n">
        <v>0</v>
      </c>
      <c r="N68" t="n">
        <v>0</v>
      </c>
      <c r="O68" t="n">
        <v>0</v>
      </c>
      <c r="P68" t="n">
        <v>0</v>
      </c>
      <c r="Q68" t="n">
        <v>0</v>
      </c>
      <c r="R68" s="2" t="inlineStr"/>
    </row>
    <row r="69" ht="15" customHeight="1">
      <c r="A69" t="inlineStr">
        <is>
          <t>A 6233-2025</t>
        </is>
      </c>
      <c r="B69" s="1" t="n">
        <v>45698.55255787037</v>
      </c>
      <c r="C69" s="1" t="n">
        <v>46084</v>
      </c>
      <c r="D69" t="inlineStr">
        <is>
          <t>JÖNKÖPINGS LÄN</t>
        </is>
      </c>
      <c r="E69" t="inlineStr">
        <is>
          <t>HABO</t>
        </is>
      </c>
      <c r="G69" t="n">
        <v>0.4</v>
      </c>
      <c r="H69" t="n">
        <v>0</v>
      </c>
      <c r="I69" t="n">
        <v>0</v>
      </c>
      <c r="J69" t="n">
        <v>0</v>
      </c>
      <c r="K69" t="n">
        <v>0</v>
      </c>
      <c r="L69" t="n">
        <v>0</v>
      </c>
      <c r="M69" t="n">
        <v>0</v>
      </c>
      <c r="N69" t="n">
        <v>0</v>
      </c>
      <c r="O69" t="n">
        <v>0</v>
      </c>
      <c r="P69" t="n">
        <v>0</v>
      </c>
      <c r="Q69" t="n">
        <v>0</v>
      </c>
      <c r="R69" s="2" t="inlineStr"/>
    </row>
    <row r="70" ht="15" customHeight="1">
      <c r="A70" t="inlineStr">
        <is>
          <t>A 38069-2025</t>
        </is>
      </c>
      <c r="B70" s="1" t="n">
        <v>45882</v>
      </c>
      <c r="C70" s="1" t="n">
        <v>46084</v>
      </c>
      <c r="D70" t="inlineStr">
        <is>
          <t>JÖNKÖPINGS LÄN</t>
        </is>
      </c>
      <c r="E70" t="inlineStr">
        <is>
          <t>HABO</t>
        </is>
      </c>
      <c r="F70" t="inlineStr">
        <is>
          <t>Allmännings- och besparingsskogar</t>
        </is>
      </c>
      <c r="G70" t="n">
        <v>6.8</v>
      </c>
      <c r="H70" t="n">
        <v>0</v>
      </c>
      <c r="I70" t="n">
        <v>0</v>
      </c>
      <c r="J70" t="n">
        <v>0</v>
      </c>
      <c r="K70" t="n">
        <v>0</v>
      </c>
      <c r="L70" t="n">
        <v>0</v>
      </c>
      <c r="M70" t="n">
        <v>0</v>
      </c>
      <c r="N70" t="n">
        <v>0</v>
      </c>
      <c r="O70" t="n">
        <v>0</v>
      </c>
      <c r="P70" t="n">
        <v>0</v>
      </c>
      <c r="Q70" t="n">
        <v>0</v>
      </c>
      <c r="R70" s="2" t="inlineStr"/>
    </row>
    <row r="71" ht="15" customHeight="1">
      <c r="A71" t="inlineStr">
        <is>
          <t>A 49673-2023</t>
        </is>
      </c>
      <c r="B71" s="1" t="n">
        <v>45212</v>
      </c>
      <c r="C71" s="1" t="n">
        <v>46084</v>
      </c>
      <c r="D71" t="inlineStr">
        <is>
          <t>JÖNKÖPINGS LÄN</t>
        </is>
      </c>
      <c r="E71" t="inlineStr">
        <is>
          <t>HABO</t>
        </is>
      </c>
      <c r="G71" t="n">
        <v>0.4</v>
      </c>
      <c r="H71" t="n">
        <v>0</v>
      </c>
      <c r="I71" t="n">
        <v>0</v>
      </c>
      <c r="J71" t="n">
        <v>0</v>
      </c>
      <c r="K71" t="n">
        <v>0</v>
      </c>
      <c r="L71" t="n">
        <v>0</v>
      </c>
      <c r="M71" t="n">
        <v>0</v>
      </c>
      <c r="N71" t="n">
        <v>0</v>
      </c>
      <c r="O71" t="n">
        <v>0</v>
      </c>
      <c r="P71" t="n">
        <v>0</v>
      </c>
      <c r="Q71" t="n">
        <v>0</v>
      </c>
      <c r="R71" s="2" t="inlineStr"/>
    </row>
    <row r="72" ht="15" customHeight="1">
      <c r="A72" t="inlineStr">
        <is>
          <t>A 58452-2021</t>
        </is>
      </c>
      <c r="B72" s="1" t="n">
        <v>44488</v>
      </c>
      <c r="C72" s="1" t="n">
        <v>46084</v>
      </c>
      <c r="D72" t="inlineStr">
        <is>
          <t>JÖNKÖPINGS LÄN</t>
        </is>
      </c>
      <c r="E72" t="inlineStr">
        <is>
          <t>HABO</t>
        </is>
      </c>
      <c r="G72" t="n">
        <v>2.1</v>
      </c>
      <c r="H72" t="n">
        <v>0</v>
      </c>
      <c r="I72" t="n">
        <v>0</v>
      </c>
      <c r="J72" t="n">
        <v>0</v>
      </c>
      <c r="K72" t="n">
        <v>0</v>
      </c>
      <c r="L72" t="n">
        <v>0</v>
      </c>
      <c r="M72" t="n">
        <v>0</v>
      </c>
      <c r="N72" t="n">
        <v>0</v>
      </c>
      <c r="O72" t="n">
        <v>0</v>
      </c>
      <c r="P72" t="n">
        <v>0</v>
      </c>
      <c r="Q72" t="n">
        <v>0</v>
      </c>
      <c r="R72" s="2" t="inlineStr"/>
    </row>
    <row r="73" ht="15" customHeight="1">
      <c r="A73" t="inlineStr">
        <is>
          <t>A 35115-2021</t>
        </is>
      </c>
      <c r="B73" s="1" t="n">
        <v>44384</v>
      </c>
      <c r="C73" s="1" t="n">
        <v>46084</v>
      </c>
      <c r="D73" t="inlineStr">
        <is>
          <t>JÖNKÖPINGS LÄN</t>
        </is>
      </c>
      <c r="E73" t="inlineStr">
        <is>
          <t>HABO</t>
        </is>
      </c>
      <c r="G73" t="n">
        <v>8.4</v>
      </c>
      <c r="H73" t="n">
        <v>0</v>
      </c>
      <c r="I73" t="n">
        <v>0</v>
      </c>
      <c r="J73" t="n">
        <v>0</v>
      </c>
      <c r="K73" t="n">
        <v>0</v>
      </c>
      <c r="L73" t="n">
        <v>0</v>
      </c>
      <c r="M73" t="n">
        <v>0</v>
      </c>
      <c r="N73" t="n">
        <v>0</v>
      </c>
      <c r="O73" t="n">
        <v>0</v>
      </c>
      <c r="P73" t="n">
        <v>0</v>
      </c>
      <c r="Q73" t="n">
        <v>0</v>
      </c>
      <c r="R73" s="2" t="inlineStr"/>
    </row>
    <row r="74" ht="15" customHeight="1">
      <c r="A74" t="inlineStr">
        <is>
          <t>A 22691-2025</t>
        </is>
      </c>
      <c r="B74" s="1" t="n">
        <v>45789.53395833333</v>
      </c>
      <c r="C74" s="1" t="n">
        <v>46084</v>
      </c>
      <c r="D74" t="inlineStr">
        <is>
          <t>JÖNKÖPINGS LÄN</t>
        </is>
      </c>
      <c r="E74" t="inlineStr">
        <is>
          <t>HABO</t>
        </is>
      </c>
      <c r="G74" t="n">
        <v>3</v>
      </c>
      <c r="H74" t="n">
        <v>0</v>
      </c>
      <c r="I74" t="n">
        <v>0</v>
      </c>
      <c r="J74" t="n">
        <v>0</v>
      </c>
      <c r="K74" t="n">
        <v>0</v>
      </c>
      <c r="L74" t="n">
        <v>0</v>
      </c>
      <c r="M74" t="n">
        <v>0</v>
      </c>
      <c r="N74" t="n">
        <v>0</v>
      </c>
      <c r="O74" t="n">
        <v>0</v>
      </c>
      <c r="P74" t="n">
        <v>0</v>
      </c>
      <c r="Q74" t="n">
        <v>0</v>
      </c>
      <c r="R74" s="2" t="inlineStr"/>
    </row>
    <row r="75" ht="15" customHeight="1">
      <c r="A75" t="inlineStr">
        <is>
          <t>A 38749-2025</t>
        </is>
      </c>
      <c r="B75" s="1" t="n">
        <v>45887.38887731481</v>
      </c>
      <c r="C75" s="1" t="n">
        <v>46084</v>
      </c>
      <c r="D75" t="inlineStr">
        <is>
          <t>JÖNKÖPINGS LÄN</t>
        </is>
      </c>
      <c r="E75" t="inlineStr">
        <is>
          <t>HABO</t>
        </is>
      </c>
      <c r="G75" t="n">
        <v>1</v>
      </c>
      <c r="H75" t="n">
        <v>0</v>
      </c>
      <c r="I75" t="n">
        <v>0</v>
      </c>
      <c r="J75" t="n">
        <v>0</v>
      </c>
      <c r="K75" t="n">
        <v>0</v>
      </c>
      <c r="L75" t="n">
        <v>0</v>
      </c>
      <c r="M75" t="n">
        <v>0</v>
      </c>
      <c r="N75" t="n">
        <v>0</v>
      </c>
      <c r="O75" t="n">
        <v>0</v>
      </c>
      <c r="P75" t="n">
        <v>0</v>
      </c>
      <c r="Q75" t="n">
        <v>0</v>
      </c>
      <c r="R75" s="2" t="inlineStr"/>
    </row>
    <row r="76" ht="15" customHeight="1">
      <c r="A76" t="inlineStr">
        <is>
          <t>A 26364-2025</t>
        </is>
      </c>
      <c r="B76" s="1" t="n">
        <v>45806.33793981482</v>
      </c>
      <c r="C76" s="1" t="n">
        <v>46084</v>
      </c>
      <c r="D76" t="inlineStr">
        <is>
          <t>JÖNKÖPINGS LÄN</t>
        </is>
      </c>
      <c r="E76" t="inlineStr">
        <is>
          <t>HABO</t>
        </is>
      </c>
      <c r="G76" t="n">
        <v>3</v>
      </c>
      <c r="H76" t="n">
        <v>0</v>
      </c>
      <c r="I76" t="n">
        <v>0</v>
      </c>
      <c r="J76" t="n">
        <v>0</v>
      </c>
      <c r="K76" t="n">
        <v>0</v>
      </c>
      <c r="L76" t="n">
        <v>0</v>
      </c>
      <c r="M76" t="n">
        <v>0</v>
      </c>
      <c r="N76" t="n">
        <v>0</v>
      </c>
      <c r="O76" t="n">
        <v>0</v>
      </c>
      <c r="P76" t="n">
        <v>0</v>
      </c>
      <c r="Q76" t="n">
        <v>0</v>
      </c>
      <c r="R76" s="2" t="inlineStr"/>
    </row>
    <row r="77" ht="15" customHeight="1">
      <c r="A77" t="inlineStr">
        <is>
          <t>A 35148-2022</t>
        </is>
      </c>
      <c r="B77" s="1" t="n">
        <v>44797</v>
      </c>
      <c r="C77" s="1" t="n">
        <v>46084</v>
      </c>
      <c r="D77" t="inlineStr">
        <is>
          <t>JÖNKÖPINGS LÄN</t>
        </is>
      </c>
      <c r="E77" t="inlineStr">
        <is>
          <t>HABO</t>
        </is>
      </c>
      <c r="G77" t="n">
        <v>0.7</v>
      </c>
      <c r="H77" t="n">
        <v>0</v>
      </c>
      <c r="I77" t="n">
        <v>0</v>
      </c>
      <c r="J77" t="n">
        <v>0</v>
      </c>
      <c r="K77" t="n">
        <v>0</v>
      </c>
      <c r="L77" t="n">
        <v>0</v>
      </c>
      <c r="M77" t="n">
        <v>0</v>
      </c>
      <c r="N77" t="n">
        <v>0</v>
      </c>
      <c r="O77" t="n">
        <v>0</v>
      </c>
      <c r="P77" t="n">
        <v>0</v>
      </c>
      <c r="Q77" t="n">
        <v>0</v>
      </c>
      <c r="R77" s="2" t="inlineStr"/>
    </row>
    <row r="78" ht="15" customHeight="1">
      <c r="A78" t="inlineStr">
        <is>
          <t>A 38759-2025</t>
        </is>
      </c>
      <c r="B78" s="1" t="n">
        <v>45887.39712962963</v>
      </c>
      <c r="C78" s="1" t="n">
        <v>46084</v>
      </c>
      <c r="D78" t="inlineStr">
        <is>
          <t>JÖNKÖPINGS LÄN</t>
        </is>
      </c>
      <c r="E78" t="inlineStr">
        <is>
          <t>HABO</t>
        </is>
      </c>
      <c r="G78" t="n">
        <v>1.9</v>
      </c>
      <c r="H78" t="n">
        <v>0</v>
      </c>
      <c r="I78" t="n">
        <v>0</v>
      </c>
      <c r="J78" t="n">
        <v>0</v>
      </c>
      <c r="K78" t="n">
        <v>0</v>
      </c>
      <c r="L78" t="n">
        <v>0</v>
      </c>
      <c r="M78" t="n">
        <v>0</v>
      </c>
      <c r="N78" t="n">
        <v>0</v>
      </c>
      <c r="O78" t="n">
        <v>0</v>
      </c>
      <c r="P78" t="n">
        <v>0</v>
      </c>
      <c r="Q78" t="n">
        <v>0</v>
      </c>
      <c r="R78" s="2" t="inlineStr"/>
    </row>
    <row r="79" ht="15" customHeight="1">
      <c r="A79" t="inlineStr">
        <is>
          <t>A 60726-2022</t>
        </is>
      </c>
      <c r="B79" s="1" t="n">
        <v>44913.54509259259</v>
      </c>
      <c r="C79" s="1" t="n">
        <v>46084</v>
      </c>
      <c r="D79" t="inlineStr">
        <is>
          <t>JÖNKÖPINGS LÄN</t>
        </is>
      </c>
      <c r="E79" t="inlineStr">
        <is>
          <t>HABO</t>
        </is>
      </c>
      <c r="G79" t="n">
        <v>0.9</v>
      </c>
      <c r="H79" t="n">
        <v>0</v>
      </c>
      <c r="I79" t="n">
        <v>0</v>
      </c>
      <c r="J79" t="n">
        <v>0</v>
      </c>
      <c r="K79" t="n">
        <v>0</v>
      </c>
      <c r="L79" t="n">
        <v>0</v>
      </c>
      <c r="M79" t="n">
        <v>0</v>
      </c>
      <c r="N79" t="n">
        <v>0</v>
      </c>
      <c r="O79" t="n">
        <v>0</v>
      </c>
      <c r="P79" t="n">
        <v>0</v>
      </c>
      <c r="Q79" t="n">
        <v>0</v>
      </c>
      <c r="R79" s="2" t="inlineStr"/>
    </row>
    <row r="80" ht="15" customHeight="1">
      <c r="A80" t="inlineStr">
        <is>
          <t>A 35626-2022</t>
        </is>
      </c>
      <c r="B80" s="1" t="n">
        <v>44799</v>
      </c>
      <c r="C80" s="1" t="n">
        <v>46084</v>
      </c>
      <c r="D80" t="inlineStr">
        <is>
          <t>JÖNKÖPINGS LÄN</t>
        </is>
      </c>
      <c r="E80" t="inlineStr">
        <is>
          <t>HABO</t>
        </is>
      </c>
      <c r="F80" t="inlineStr">
        <is>
          <t>Kommuner</t>
        </is>
      </c>
      <c r="G80" t="n">
        <v>1.8</v>
      </c>
      <c r="H80" t="n">
        <v>0</v>
      </c>
      <c r="I80" t="n">
        <v>0</v>
      </c>
      <c r="J80" t="n">
        <v>0</v>
      </c>
      <c r="K80" t="n">
        <v>0</v>
      </c>
      <c r="L80" t="n">
        <v>0</v>
      </c>
      <c r="M80" t="n">
        <v>0</v>
      </c>
      <c r="N80" t="n">
        <v>0</v>
      </c>
      <c r="O80" t="n">
        <v>0</v>
      </c>
      <c r="P80" t="n">
        <v>0</v>
      </c>
      <c r="Q80" t="n">
        <v>0</v>
      </c>
      <c r="R80" s="2" t="inlineStr"/>
    </row>
    <row r="81" ht="15" customHeight="1">
      <c r="A81" t="inlineStr">
        <is>
          <t>A 22842-2025</t>
        </is>
      </c>
      <c r="B81" s="1" t="n">
        <v>45790</v>
      </c>
      <c r="C81" s="1" t="n">
        <v>46084</v>
      </c>
      <c r="D81" t="inlineStr">
        <is>
          <t>JÖNKÖPINGS LÄN</t>
        </is>
      </c>
      <c r="E81" t="inlineStr">
        <is>
          <t>HABO</t>
        </is>
      </c>
      <c r="G81" t="n">
        <v>1.3</v>
      </c>
      <c r="H81" t="n">
        <v>0</v>
      </c>
      <c r="I81" t="n">
        <v>0</v>
      </c>
      <c r="J81" t="n">
        <v>0</v>
      </c>
      <c r="K81" t="n">
        <v>0</v>
      </c>
      <c r="L81" t="n">
        <v>0</v>
      </c>
      <c r="M81" t="n">
        <v>0</v>
      </c>
      <c r="N81" t="n">
        <v>0</v>
      </c>
      <c r="O81" t="n">
        <v>0</v>
      </c>
      <c r="P81" t="n">
        <v>0</v>
      </c>
      <c r="Q81" t="n">
        <v>0</v>
      </c>
      <c r="R81" s="2" t="inlineStr"/>
    </row>
    <row r="82" ht="15" customHeight="1">
      <c r="A82" t="inlineStr">
        <is>
          <t>A 65067-2023</t>
        </is>
      </c>
      <c r="B82" s="1" t="n">
        <v>45287</v>
      </c>
      <c r="C82" s="1" t="n">
        <v>46084</v>
      </c>
      <c r="D82" t="inlineStr">
        <is>
          <t>JÖNKÖPINGS LÄN</t>
        </is>
      </c>
      <c r="E82" t="inlineStr">
        <is>
          <t>HABO</t>
        </is>
      </c>
      <c r="G82" t="n">
        <v>2.1</v>
      </c>
      <c r="H82" t="n">
        <v>0</v>
      </c>
      <c r="I82" t="n">
        <v>0</v>
      </c>
      <c r="J82" t="n">
        <v>0</v>
      </c>
      <c r="K82" t="n">
        <v>0</v>
      </c>
      <c r="L82" t="n">
        <v>0</v>
      </c>
      <c r="M82" t="n">
        <v>0</v>
      </c>
      <c r="N82" t="n">
        <v>0</v>
      </c>
      <c r="O82" t="n">
        <v>0</v>
      </c>
      <c r="P82" t="n">
        <v>0</v>
      </c>
      <c r="Q82" t="n">
        <v>0</v>
      </c>
      <c r="R82" s="2" t="inlineStr"/>
    </row>
    <row r="83" ht="15" customHeight="1">
      <c r="A83" t="inlineStr">
        <is>
          <t>A 52055-2024</t>
        </is>
      </c>
      <c r="B83" s="1" t="n">
        <v>45608</v>
      </c>
      <c r="C83" s="1" t="n">
        <v>46084</v>
      </c>
      <c r="D83" t="inlineStr">
        <is>
          <t>JÖNKÖPINGS LÄN</t>
        </is>
      </c>
      <c r="E83" t="inlineStr">
        <is>
          <t>HABO</t>
        </is>
      </c>
      <c r="G83" t="n">
        <v>1.1</v>
      </c>
      <c r="H83" t="n">
        <v>0</v>
      </c>
      <c r="I83" t="n">
        <v>0</v>
      </c>
      <c r="J83" t="n">
        <v>0</v>
      </c>
      <c r="K83" t="n">
        <v>0</v>
      </c>
      <c r="L83" t="n">
        <v>0</v>
      </c>
      <c r="M83" t="n">
        <v>0</v>
      </c>
      <c r="N83" t="n">
        <v>0</v>
      </c>
      <c r="O83" t="n">
        <v>0</v>
      </c>
      <c r="P83" t="n">
        <v>0</v>
      </c>
      <c r="Q83" t="n">
        <v>0</v>
      </c>
      <c r="R83" s="2" t="inlineStr"/>
    </row>
    <row r="84" ht="15" customHeight="1">
      <c r="A84" t="inlineStr">
        <is>
          <t>A 17845-2024</t>
        </is>
      </c>
      <c r="B84" s="1" t="n">
        <v>45419.38777777777</v>
      </c>
      <c r="C84" s="1" t="n">
        <v>46084</v>
      </c>
      <c r="D84" t="inlineStr">
        <is>
          <t>JÖNKÖPINGS LÄN</t>
        </is>
      </c>
      <c r="E84" t="inlineStr">
        <is>
          <t>HABO</t>
        </is>
      </c>
      <c r="G84" t="n">
        <v>0.7</v>
      </c>
      <c r="H84" t="n">
        <v>0</v>
      </c>
      <c r="I84" t="n">
        <v>0</v>
      </c>
      <c r="J84" t="n">
        <v>0</v>
      </c>
      <c r="K84" t="n">
        <v>0</v>
      </c>
      <c r="L84" t="n">
        <v>0</v>
      </c>
      <c r="M84" t="n">
        <v>0</v>
      </c>
      <c r="N84" t="n">
        <v>0</v>
      </c>
      <c r="O84" t="n">
        <v>0</v>
      </c>
      <c r="P84" t="n">
        <v>0</v>
      </c>
      <c r="Q84" t="n">
        <v>0</v>
      </c>
      <c r="R84" s="2" t="inlineStr"/>
    </row>
    <row r="85" ht="15" customHeight="1">
      <c r="A85" t="inlineStr">
        <is>
          <t>A 54288-2024</t>
        </is>
      </c>
      <c r="B85" s="1" t="n">
        <v>45617.27299768518</v>
      </c>
      <c r="C85" s="1" t="n">
        <v>46084</v>
      </c>
      <c r="D85" t="inlineStr">
        <is>
          <t>JÖNKÖPINGS LÄN</t>
        </is>
      </c>
      <c r="E85" t="inlineStr">
        <is>
          <t>HABO</t>
        </is>
      </c>
      <c r="G85" t="n">
        <v>1.8</v>
      </c>
      <c r="H85" t="n">
        <v>0</v>
      </c>
      <c r="I85" t="n">
        <v>0</v>
      </c>
      <c r="J85" t="n">
        <v>0</v>
      </c>
      <c r="K85" t="n">
        <v>0</v>
      </c>
      <c r="L85" t="n">
        <v>0</v>
      </c>
      <c r="M85" t="n">
        <v>0</v>
      </c>
      <c r="N85" t="n">
        <v>0</v>
      </c>
      <c r="O85" t="n">
        <v>0</v>
      </c>
      <c r="P85" t="n">
        <v>0</v>
      </c>
      <c r="Q85" t="n">
        <v>0</v>
      </c>
      <c r="R85" s="2" t="inlineStr"/>
    </row>
    <row r="86" ht="15" customHeight="1">
      <c r="A86" t="inlineStr">
        <is>
          <t>A 16149-2025</t>
        </is>
      </c>
      <c r="B86" s="1" t="n">
        <v>45750.48006944444</v>
      </c>
      <c r="C86" s="1" t="n">
        <v>46084</v>
      </c>
      <c r="D86" t="inlineStr">
        <is>
          <t>JÖNKÖPINGS LÄN</t>
        </is>
      </c>
      <c r="E86" t="inlineStr">
        <is>
          <t>HABO</t>
        </is>
      </c>
      <c r="G86" t="n">
        <v>0.7</v>
      </c>
      <c r="H86" t="n">
        <v>0</v>
      </c>
      <c r="I86" t="n">
        <v>0</v>
      </c>
      <c r="J86" t="n">
        <v>0</v>
      </c>
      <c r="K86" t="n">
        <v>0</v>
      </c>
      <c r="L86" t="n">
        <v>0</v>
      </c>
      <c r="M86" t="n">
        <v>0</v>
      </c>
      <c r="N86" t="n">
        <v>0</v>
      </c>
      <c r="O86" t="n">
        <v>0</v>
      </c>
      <c r="P86" t="n">
        <v>0</v>
      </c>
      <c r="Q86" t="n">
        <v>0</v>
      </c>
      <c r="R86" s="2" t="inlineStr"/>
    </row>
    <row r="87" ht="15" customHeight="1">
      <c r="A87" t="inlineStr">
        <is>
          <t>A 3847-2025</t>
        </is>
      </c>
      <c r="B87" s="1" t="n">
        <v>45683.76944444444</v>
      </c>
      <c r="C87" s="1" t="n">
        <v>46084</v>
      </c>
      <c r="D87" t="inlineStr">
        <is>
          <t>JÖNKÖPINGS LÄN</t>
        </is>
      </c>
      <c r="E87" t="inlineStr">
        <is>
          <t>HABO</t>
        </is>
      </c>
      <c r="G87" t="n">
        <v>2.8</v>
      </c>
      <c r="H87" t="n">
        <v>0</v>
      </c>
      <c r="I87" t="n">
        <v>0</v>
      </c>
      <c r="J87" t="n">
        <v>0</v>
      </c>
      <c r="K87" t="n">
        <v>0</v>
      </c>
      <c r="L87" t="n">
        <v>0</v>
      </c>
      <c r="M87" t="n">
        <v>0</v>
      </c>
      <c r="N87" t="n">
        <v>0</v>
      </c>
      <c r="O87" t="n">
        <v>0</v>
      </c>
      <c r="P87" t="n">
        <v>0</v>
      </c>
      <c r="Q87" t="n">
        <v>0</v>
      </c>
      <c r="R87" s="2" t="inlineStr"/>
    </row>
    <row r="88" ht="15" customHeight="1">
      <c r="A88" t="inlineStr">
        <is>
          <t>A 62745-2023</t>
        </is>
      </c>
      <c r="B88" s="1" t="n">
        <v>45271</v>
      </c>
      <c r="C88" s="1" t="n">
        <v>46084</v>
      </c>
      <c r="D88" t="inlineStr">
        <is>
          <t>JÖNKÖPINGS LÄN</t>
        </is>
      </c>
      <c r="E88" t="inlineStr">
        <is>
          <t>HABO</t>
        </is>
      </c>
      <c r="G88" t="n">
        <v>3.8</v>
      </c>
      <c r="H88" t="n">
        <v>0</v>
      </c>
      <c r="I88" t="n">
        <v>0</v>
      </c>
      <c r="J88" t="n">
        <v>0</v>
      </c>
      <c r="K88" t="n">
        <v>0</v>
      </c>
      <c r="L88" t="n">
        <v>0</v>
      </c>
      <c r="M88" t="n">
        <v>0</v>
      </c>
      <c r="N88" t="n">
        <v>0</v>
      </c>
      <c r="O88" t="n">
        <v>0</v>
      </c>
      <c r="P88" t="n">
        <v>0</v>
      </c>
      <c r="Q88" t="n">
        <v>0</v>
      </c>
      <c r="R88" s="2" t="inlineStr"/>
    </row>
    <row r="89" ht="15" customHeight="1">
      <c r="A89" t="inlineStr">
        <is>
          <t>A 59440-2024</t>
        </is>
      </c>
      <c r="B89" s="1" t="n">
        <v>45638.44335648148</v>
      </c>
      <c r="C89" s="1" t="n">
        <v>46084</v>
      </c>
      <c r="D89" t="inlineStr">
        <is>
          <t>JÖNKÖPINGS LÄN</t>
        </is>
      </c>
      <c r="E89" t="inlineStr">
        <is>
          <t>HABO</t>
        </is>
      </c>
      <c r="G89" t="n">
        <v>1</v>
      </c>
      <c r="H89" t="n">
        <v>0</v>
      </c>
      <c r="I89" t="n">
        <v>0</v>
      </c>
      <c r="J89" t="n">
        <v>0</v>
      </c>
      <c r="K89" t="n">
        <v>0</v>
      </c>
      <c r="L89" t="n">
        <v>0</v>
      </c>
      <c r="M89" t="n">
        <v>0</v>
      </c>
      <c r="N89" t="n">
        <v>0</v>
      </c>
      <c r="O89" t="n">
        <v>0</v>
      </c>
      <c r="P89" t="n">
        <v>0</v>
      </c>
      <c r="Q89" t="n">
        <v>0</v>
      </c>
      <c r="R89" s="2" t="inlineStr"/>
    </row>
    <row r="90" ht="15" customHeight="1">
      <c r="A90" t="inlineStr">
        <is>
          <t>A 14707-2025</t>
        </is>
      </c>
      <c r="B90" s="1" t="n">
        <v>45742.60814814815</v>
      </c>
      <c r="C90" s="1" t="n">
        <v>46084</v>
      </c>
      <c r="D90" t="inlineStr">
        <is>
          <t>JÖNKÖPINGS LÄN</t>
        </is>
      </c>
      <c r="E90" t="inlineStr">
        <is>
          <t>HABO</t>
        </is>
      </c>
      <c r="G90" t="n">
        <v>4.2</v>
      </c>
      <c r="H90" t="n">
        <v>0</v>
      </c>
      <c r="I90" t="n">
        <v>0</v>
      </c>
      <c r="J90" t="n">
        <v>0</v>
      </c>
      <c r="K90" t="n">
        <v>0</v>
      </c>
      <c r="L90" t="n">
        <v>0</v>
      </c>
      <c r="M90" t="n">
        <v>0</v>
      </c>
      <c r="N90" t="n">
        <v>0</v>
      </c>
      <c r="O90" t="n">
        <v>0</v>
      </c>
      <c r="P90" t="n">
        <v>0</v>
      </c>
      <c r="Q90" t="n">
        <v>0</v>
      </c>
      <c r="R90" s="2" t="inlineStr"/>
    </row>
    <row r="91" ht="15" customHeight="1">
      <c r="A91" t="inlineStr">
        <is>
          <t>A 10167-2024</t>
        </is>
      </c>
      <c r="B91" s="1" t="n">
        <v>45364.6840162037</v>
      </c>
      <c r="C91" s="1" t="n">
        <v>46084</v>
      </c>
      <c r="D91" t="inlineStr">
        <is>
          <t>JÖNKÖPINGS LÄN</t>
        </is>
      </c>
      <c r="E91" t="inlineStr">
        <is>
          <t>HABO</t>
        </is>
      </c>
      <c r="G91" t="n">
        <v>1.3</v>
      </c>
      <c r="H91" t="n">
        <v>0</v>
      </c>
      <c r="I91" t="n">
        <v>0</v>
      </c>
      <c r="J91" t="n">
        <v>0</v>
      </c>
      <c r="K91" t="n">
        <v>0</v>
      </c>
      <c r="L91" t="n">
        <v>0</v>
      </c>
      <c r="M91" t="n">
        <v>0</v>
      </c>
      <c r="N91" t="n">
        <v>0</v>
      </c>
      <c r="O91" t="n">
        <v>0</v>
      </c>
      <c r="P91" t="n">
        <v>0</v>
      </c>
      <c r="Q91" t="n">
        <v>0</v>
      </c>
      <c r="R91" s="2" t="inlineStr"/>
    </row>
    <row r="92" ht="15" customHeight="1">
      <c r="A92" t="inlineStr">
        <is>
          <t>A 15802-2023</t>
        </is>
      </c>
      <c r="B92" s="1" t="n">
        <v>45021</v>
      </c>
      <c r="C92" s="1" t="n">
        <v>46084</v>
      </c>
      <c r="D92" t="inlineStr">
        <is>
          <t>JÖNKÖPINGS LÄN</t>
        </is>
      </c>
      <c r="E92" t="inlineStr">
        <is>
          <t>HABO</t>
        </is>
      </c>
      <c r="G92" t="n">
        <v>2.2</v>
      </c>
      <c r="H92" t="n">
        <v>0</v>
      </c>
      <c r="I92" t="n">
        <v>0</v>
      </c>
      <c r="J92" t="n">
        <v>0</v>
      </c>
      <c r="K92" t="n">
        <v>0</v>
      </c>
      <c r="L92" t="n">
        <v>0</v>
      </c>
      <c r="M92" t="n">
        <v>0</v>
      </c>
      <c r="N92" t="n">
        <v>0</v>
      </c>
      <c r="O92" t="n">
        <v>0</v>
      </c>
      <c r="P92" t="n">
        <v>0</v>
      </c>
      <c r="Q92" t="n">
        <v>0</v>
      </c>
      <c r="R92" s="2" t="inlineStr"/>
    </row>
    <row r="93" ht="15" customHeight="1">
      <c r="A93" t="inlineStr">
        <is>
          <t>A 12991-2025</t>
        </is>
      </c>
      <c r="B93" s="1" t="n">
        <v>45734.48027777778</v>
      </c>
      <c r="C93" s="1" t="n">
        <v>46084</v>
      </c>
      <c r="D93" t="inlineStr">
        <is>
          <t>JÖNKÖPINGS LÄN</t>
        </is>
      </c>
      <c r="E93" t="inlineStr">
        <is>
          <t>HABO</t>
        </is>
      </c>
      <c r="G93" t="n">
        <v>0.9</v>
      </c>
      <c r="H93" t="n">
        <v>0</v>
      </c>
      <c r="I93" t="n">
        <v>0</v>
      </c>
      <c r="J93" t="n">
        <v>0</v>
      </c>
      <c r="K93" t="n">
        <v>0</v>
      </c>
      <c r="L93" t="n">
        <v>0</v>
      </c>
      <c r="M93" t="n">
        <v>0</v>
      </c>
      <c r="N93" t="n">
        <v>0</v>
      </c>
      <c r="O93" t="n">
        <v>0</v>
      </c>
      <c r="P93" t="n">
        <v>0</v>
      </c>
      <c r="Q93" t="n">
        <v>0</v>
      </c>
      <c r="R93" s="2" t="inlineStr"/>
    </row>
    <row r="94" ht="15" customHeight="1">
      <c r="A94" t="inlineStr">
        <is>
          <t>A 40677-2025</t>
        </is>
      </c>
      <c r="B94" s="1" t="n">
        <v>45896.79884259259</v>
      </c>
      <c r="C94" s="1" t="n">
        <v>46084</v>
      </c>
      <c r="D94" t="inlineStr">
        <is>
          <t>JÖNKÖPINGS LÄN</t>
        </is>
      </c>
      <c r="E94" t="inlineStr">
        <is>
          <t>HABO</t>
        </is>
      </c>
      <c r="G94" t="n">
        <v>1.7</v>
      </c>
      <c r="H94" t="n">
        <v>0</v>
      </c>
      <c r="I94" t="n">
        <v>0</v>
      </c>
      <c r="J94" t="n">
        <v>0</v>
      </c>
      <c r="K94" t="n">
        <v>0</v>
      </c>
      <c r="L94" t="n">
        <v>0</v>
      </c>
      <c r="M94" t="n">
        <v>0</v>
      </c>
      <c r="N94" t="n">
        <v>0</v>
      </c>
      <c r="O94" t="n">
        <v>0</v>
      </c>
      <c r="P94" t="n">
        <v>0</v>
      </c>
      <c r="Q94" t="n">
        <v>0</v>
      </c>
      <c r="R94" s="2" t="inlineStr"/>
    </row>
    <row r="95" ht="15" customHeight="1">
      <c r="A95" t="inlineStr">
        <is>
          <t>A 40725-2025</t>
        </is>
      </c>
      <c r="B95" s="1" t="n">
        <v>45897.34652777778</v>
      </c>
      <c r="C95" s="1" t="n">
        <v>46084</v>
      </c>
      <c r="D95" t="inlineStr">
        <is>
          <t>JÖNKÖPINGS LÄN</t>
        </is>
      </c>
      <c r="E95" t="inlineStr">
        <is>
          <t>HABO</t>
        </is>
      </c>
      <c r="G95" t="n">
        <v>3.1</v>
      </c>
      <c r="H95" t="n">
        <v>0</v>
      </c>
      <c r="I95" t="n">
        <v>0</v>
      </c>
      <c r="J95" t="n">
        <v>0</v>
      </c>
      <c r="K95" t="n">
        <v>0</v>
      </c>
      <c r="L95" t="n">
        <v>0</v>
      </c>
      <c r="M95" t="n">
        <v>0</v>
      </c>
      <c r="N95" t="n">
        <v>0</v>
      </c>
      <c r="O95" t="n">
        <v>0</v>
      </c>
      <c r="P95" t="n">
        <v>0</v>
      </c>
      <c r="Q95" t="n">
        <v>0</v>
      </c>
      <c r="R95" s="2" t="inlineStr"/>
    </row>
    <row r="96" ht="15" customHeight="1">
      <c r="A96" t="inlineStr">
        <is>
          <t>A 23148-2024</t>
        </is>
      </c>
      <c r="B96" s="1" t="n">
        <v>45450.64201388889</v>
      </c>
      <c r="C96" s="1" t="n">
        <v>46084</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23153-2024</t>
        </is>
      </c>
      <c r="B97" s="1" t="n">
        <v>45450.66217592593</v>
      </c>
      <c r="C97" s="1" t="n">
        <v>46084</v>
      </c>
      <c r="D97" t="inlineStr">
        <is>
          <t>JÖNKÖPINGS LÄN</t>
        </is>
      </c>
      <c r="E97" t="inlineStr">
        <is>
          <t>HABO</t>
        </is>
      </c>
      <c r="G97" t="n">
        <v>2.9</v>
      </c>
      <c r="H97" t="n">
        <v>0</v>
      </c>
      <c r="I97" t="n">
        <v>0</v>
      </c>
      <c r="J97" t="n">
        <v>0</v>
      </c>
      <c r="K97" t="n">
        <v>0</v>
      </c>
      <c r="L97" t="n">
        <v>0</v>
      </c>
      <c r="M97" t="n">
        <v>0</v>
      </c>
      <c r="N97" t="n">
        <v>0</v>
      </c>
      <c r="O97" t="n">
        <v>0</v>
      </c>
      <c r="P97" t="n">
        <v>0</v>
      </c>
      <c r="Q97" t="n">
        <v>0</v>
      </c>
      <c r="R97" s="2" t="inlineStr"/>
    </row>
    <row r="98" ht="15" customHeight="1">
      <c r="A98" t="inlineStr">
        <is>
          <t>A 16509-2023</t>
        </is>
      </c>
      <c r="B98" s="1" t="n">
        <v>45029.6452662037</v>
      </c>
      <c r="C98" s="1" t="n">
        <v>46084</v>
      </c>
      <c r="D98" t="inlineStr">
        <is>
          <t>JÖNKÖPINGS LÄN</t>
        </is>
      </c>
      <c r="E98" t="inlineStr">
        <is>
          <t>HABO</t>
        </is>
      </c>
      <c r="G98" t="n">
        <v>1.3</v>
      </c>
      <c r="H98" t="n">
        <v>0</v>
      </c>
      <c r="I98" t="n">
        <v>0</v>
      </c>
      <c r="J98" t="n">
        <v>0</v>
      </c>
      <c r="K98" t="n">
        <v>0</v>
      </c>
      <c r="L98" t="n">
        <v>0</v>
      </c>
      <c r="M98" t="n">
        <v>0</v>
      </c>
      <c r="N98" t="n">
        <v>0</v>
      </c>
      <c r="O98" t="n">
        <v>0</v>
      </c>
      <c r="P98" t="n">
        <v>0</v>
      </c>
      <c r="Q98" t="n">
        <v>0</v>
      </c>
      <c r="R98" s="2" t="inlineStr"/>
    </row>
    <row r="99" ht="15" customHeight="1">
      <c r="A99" t="inlineStr">
        <is>
          <t>A 41962-2025</t>
        </is>
      </c>
      <c r="B99" s="1" t="n">
        <v>45903.46984953704</v>
      </c>
      <c r="C99" s="1" t="n">
        <v>46084</v>
      </c>
      <c r="D99" t="inlineStr">
        <is>
          <t>JÖNKÖPINGS LÄN</t>
        </is>
      </c>
      <c r="E99" t="inlineStr">
        <is>
          <t>HABO</t>
        </is>
      </c>
      <c r="G99" t="n">
        <v>0.7</v>
      </c>
      <c r="H99" t="n">
        <v>0</v>
      </c>
      <c r="I99" t="n">
        <v>0</v>
      </c>
      <c r="J99" t="n">
        <v>0</v>
      </c>
      <c r="K99" t="n">
        <v>0</v>
      </c>
      <c r="L99" t="n">
        <v>0</v>
      </c>
      <c r="M99" t="n">
        <v>0</v>
      </c>
      <c r="N99" t="n">
        <v>0</v>
      </c>
      <c r="O99" t="n">
        <v>0</v>
      </c>
      <c r="P99" t="n">
        <v>0</v>
      </c>
      <c r="Q99" t="n">
        <v>0</v>
      </c>
      <c r="R99" s="2" t="inlineStr"/>
    </row>
    <row r="100" ht="15" customHeight="1">
      <c r="A100" t="inlineStr">
        <is>
          <t>A 45277-2024</t>
        </is>
      </c>
      <c r="B100" s="1" t="n">
        <v>45576.36799768519</v>
      </c>
      <c r="C100" s="1" t="n">
        <v>46084</v>
      </c>
      <c r="D100" t="inlineStr">
        <is>
          <t>JÖNKÖPINGS LÄN</t>
        </is>
      </c>
      <c r="E100" t="inlineStr">
        <is>
          <t>HABO</t>
        </is>
      </c>
      <c r="G100" t="n">
        <v>0.5</v>
      </c>
      <c r="H100" t="n">
        <v>0</v>
      </c>
      <c r="I100" t="n">
        <v>0</v>
      </c>
      <c r="J100" t="n">
        <v>0</v>
      </c>
      <c r="K100" t="n">
        <v>0</v>
      </c>
      <c r="L100" t="n">
        <v>0</v>
      </c>
      <c r="M100" t="n">
        <v>0</v>
      </c>
      <c r="N100" t="n">
        <v>0</v>
      </c>
      <c r="O100" t="n">
        <v>0</v>
      </c>
      <c r="P100" t="n">
        <v>0</v>
      </c>
      <c r="Q100" t="n">
        <v>0</v>
      </c>
      <c r="R100" s="2" t="inlineStr"/>
    </row>
    <row r="101" ht="15" customHeight="1">
      <c r="A101" t="inlineStr">
        <is>
          <t>A 43160-2023</t>
        </is>
      </c>
      <c r="B101" s="1" t="n">
        <v>45183.34355324074</v>
      </c>
      <c r="C101" s="1" t="n">
        <v>46084</v>
      </c>
      <c r="D101" t="inlineStr">
        <is>
          <t>JÖNKÖPINGS LÄN</t>
        </is>
      </c>
      <c r="E101" t="inlineStr">
        <is>
          <t>HABO</t>
        </is>
      </c>
      <c r="G101" t="n">
        <v>3</v>
      </c>
      <c r="H101" t="n">
        <v>0</v>
      </c>
      <c r="I101" t="n">
        <v>0</v>
      </c>
      <c r="J101" t="n">
        <v>0</v>
      </c>
      <c r="K101" t="n">
        <v>0</v>
      </c>
      <c r="L101" t="n">
        <v>0</v>
      </c>
      <c r="M101" t="n">
        <v>0</v>
      </c>
      <c r="N101" t="n">
        <v>0</v>
      </c>
      <c r="O101" t="n">
        <v>0</v>
      </c>
      <c r="P101" t="n">
        <v>0</v>
      </c>
      <c r="Q101" t="n">
        <v>0</v>
      </c>
      <c r="R101" s="2" t="inlineStr"/>
    </row>
    <row r="102" ht="15" customHeight="1">
      <c r="A102" t="inlineStr">
        <is>
          <t>A 26519-2025</t>
        </is>
      </c>
      <c r="B102" s="1" t="n">
        <v>45807.56061342593</v>
      </c>
      <c r="C102" s="1" t="n">
        <v>46084</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26212-2023</t>
        </is>
      </c>
      <c r="B103" s="1" t="n">
        <v>45091.55373842592</v>
      </c>
      <c r="C103" s="1" t="n">
        <v>46084</v>
      </c>
      <c r="D103" t="inlineStr">
        <is>
          <t>JÖNKÖPINGS LÄN</t>
        </is>
      </c>
      <c r="E103" t="inlineStr">
        <is>
          <t>HABO</t>
        </is>
      </c>
      <c r="G103" t="n">
        <v>3.9</v>
      </c>
      <c r="H103" t="n">
        <v>0</v>
      </c>
      <c r="I103" t="n">
        <v>0</v>
      </c>
      <c r="J103" t="n">
        <v>0</v>
      </c>
      <c r="K103" t="n">
        <v>0</v>
      </c>
      <c r="L103" t="n">
        <v>0</v>
      </c>
      <c r="M103" t="n">
        <v>0</v>
      </c>
      <c r="N103" t="n">
        <v>0</v>
      </c>
      <c r="O103" t="n">
        <v>0</v>
      </c>
      <c r="P103" t="n">
        <v>0</v>
      </c>
      <c r="Q103" t="n">
        <v>0</v>
      </c>
      <c r="R103" s="2" t="inlineStr"/>
    </row>
    <row r="104" ht="15" customHeight="1">
      <c r="A104" t="inlineStr">
        <is>
          <t>A 26742-2025</t>
        </is>
      </c>
      <c r="B104" s="1" t="n">
        <v>45810.52659722222</v>
      </c>
      <c r="C104" s="1" t="n">
        <v>46084</v>
      </c>
      <c r="D104" t="inlineStr">
        <is>
          <t>JÖNKÖPINGS LÄN</t>
        </is>
      </c>
      <c r="E104" t="inlineStr">
        <is>
          <t>HABO</t>
        </is>
      </c>
      <c r="G104" t="n">
        <v>1.2</v>
      </c>
      <c r="H104" t="n">
        <v>0</v>
      </c>
      <c r="I104" t="n">
        <v>0</v>
      </c>
      <c r="J104" t="n">
        <v>0</v>
      </c>
      <c r="K104" t="n">
        <v>0</v>
      </c>
      <c r="L104" t="n">
        <v>0</v>
      </c>
      <c r="M104" t="n">
        <v>0</v>
      </c>
      <c r="N104" t="n">
        <v>0</v>
      </c>
      <c r="O104" t="n">
        <v>0</v>
      </c>
      <c r="P104" t="n">
        <v>0</v>
      </c>
      <c r="Q104" t="n">
        <v>0</v>
      </c>
      <c r="R104" s="2" t="inlineStr"/>
    </row>
    <row r="105" ht="15" customHeight="1">
      <c r="A105" t="inlineStr">
        <is>
          <t>A 272-2025</t>
        </is>
      </c>
      <c r="B105" s="1" t="n">
        <v>45660.48642361111</v>
      </c>
      <c r="C105" s="1" t="n">
        <v>46084</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59917-2024</t>
        </is>
      </c>
      <c r="B106" s="1" t="n">
        <v>45641.84190972222</v>
      </c>
      <c r="C106" s="1" t="n">
        <v>46084</v>
      </c>
      <c r="D106" t="inlineStr">
        <is>
          <t>JÖNKÖPINGS LÄN</t>
        </is>
      </c>
      <c r="E106" t="inlineStr">
        <is>
          <t>HABO</t>
        </is>
      </c>
      <c r="G106" t="n">
        <v>3.8</v>
      </c>
      <c r="H106" t="n">
        <v>0</v>
      </c>
      <c r="I106" t="n">
        <v>0</v>
      </c>
      <c r="J106" t="n">
        <v>0</v>
      </c>
      <c r="K106" t="n">
        <v>0</v>
      </c>
      <c r="L106" t="n">
        <v>0</v>
      </c>
      <c r="M106" t="n">
        <v>0</v>
      </c>
      <c r="N106" t="n">
        <v>0</v>
      </c>
      <c r="O106" t="n">
        <v>0</v>
      </c>
      <c r="P106" t="n">
        <v>0</v>
      </c>
      <c r="Q106" t="n">
        <v>0</v>
      </c>
      <c r="R106" s="2" t="inlineStr"/>
    </row>
    <row r="107" ht="15" customHeight="1">
      <c r="A107" t="inlineStr">
        <is>
          <t>A 26881-2025</t>
        </is>
      </c>
      <c r="B107" s="1" t="n">
        <v>45810.83994212963</v>
      </c>
      <c r="C107" s="1" t="n">
        <v>46084</v>
      </c>
      <c r="D107" t="inlineStr">
        <is>
          <t>JÖNKÖPINGS LÄN</t>
        </is>
      </c>
      <c r="E107" t="inlineStr">
        <is>
          <t>HABO</t>
        </is>
      </c>
      <c r="G107" t="n">
        <v>11.6</v>
      </c>
      <c r="H107" t="n">
        <v>0</v>
      </c>
      <c r="I107" t="n">
        <v>0</v>
      </c>
      <c r="J107" t="n">
        <v>0</v>
      </c>
      <c r="K107" t="n">
        <v>0</v>
      </c>
      <c r="L107" t="n">
        <v>0</v>
      </c>
      <c r="M107" t="n">
        <v>0</v>
      </c>
      <c r="N107" t="n">
        <v>0</v>
      </c>
      <c r="O107" t="n">
        <v>0</v>
      </c>
      <c r="P107" t="n">
        <v>0</v>
      </c>
      <c r="Q107" t="n">
        <v>0</v>
      </c>
      <c r="R107" s="2" t="inlineStr"/>
    </row>
    <row r="108" ht="15" customHeight="1">
      <c r="A108" t="inlineStr">
        <is>
          <t>A 6229-2025</t>
        </is>
      </c>
      <c r="B108" s="1" t="n">
        <v>45698.54895833333</v>
      </c>
      <c r="C108" s="1" t="n">
        <v>46084</v>
      </c>
      <c r="D108" t="inlineStr">
        <is>
          <t>JÖNKÖPINGS LÄN</t>
        </is>
      </c>
      <c r="E108" t="inlineStr">
        <is>
          <t>HABO</t>
        </is>
      </c>
      <c r="G108" t="n">
        <v>2.5</v>
      </c>
      <c r="H108" t="n">
        <v>0</v>
      </c>
      <c r="I108" t="n">
        <v>0</v>
      </c>
      <c r="J108" t="n">
        <v>0</v>
      </c>
      <c r="K108" t="n">
        <v>0</v>
      </c>
      <c r="L108" t="n">
        <v>0</v>
      </c>
      <c r="M108" t="n">
        <v>0</v>
      </c>
      <c r="N108" t="n">
        <v>0</v>
      </c>
      <c r="O108" t="n">
        <v>0</v>
      </c>
      <c r="P108" t="n">
        <v>0</v>
      </c>
      <c r="Q108" t="n">
        <v>0</v>
      </c>
      <c r="R108" s="2" t="inlineStr"/>
    </row>
    <row r="109" ht="15" customHeight="1">
      <c r="A109" t="inlineStr">
        <is>
          <t>A 26873-2025</t>
        </is>
      </c>
      <c r="B109" s="1" t="n">
        <v>45810</v>
      </c>
      <c r="C109" s="1" t="n">
        <v>46084</v>
      </c>
      <c r="D109" t="inlineStr">
        <is>
          <t>JÖNKÖPINGS LÄN</t>
        </is>
      </c>
      <c r="E109" t="inlineStr">
        <is>
          <t>HABO</t>
        </is>
      </c>
      <c r="G109" t="n">
        <v>3.8</v>
      </c>
      <c r="H109" t="n">
        <v>0</v>
      </c>
      <c r="I109" t="n">
        <v>0</v>
      </c>
      <c r="J109" t="n">
        <v>0</v>
      </c>
      <c r="K109" t="n">
        <v>0</v>
      </c>
      <c r="L109" t="n">
        <v>0</v>
      </c>
      <c r="M109" t="n">
        <v>0</v>
      </c>
      <c r="N109" t="n">
        <v>0</v>
      </c>
      <c r="O109" t="n">
        <v>0</v>
      </c>
      <c r="P109" t="n">
        <v>0</v>
      </c>
      <c r="Q109" t="n">
        <v>0</v>
      </c>
      <c r="R109" s="2" t="inlineStr"/>
    </row>
    <row r="110" ht="15" customHeight="1">
      <c r="A110" t="inlineStr">
        <is>
          <t>A 62764-2023</t>
        </is>
      </c>
      <c r="B110" s="1" t="n">
        <v>45271.64642361111</v>
      </c>
      <c r="C110" s="1" t="n">
        <v>46084</v>
      </c>
      <c r="D110" t="inlineStr">
        <is>
          <t>JÖNKÖPINGS LÄN</t>
        </is>
      </c>
      <c r="E110" t="inlineStr">
        <is>
          <t>HABO</t>
        </is>
      </c>
      <c r="G110" t="n">
        <v>2.5</v>
      </c>
      <c r="H110" t="n">
        <v>0</v>
      </c>
      <c r="I110" t="n">
        <v>0</v>
      </c>
      <c r="J110" t="n">
        <v>0</v>
      </c>
      <c r="K110" t="n">
        <v>0</v>
      </c>
      <c r="L110" t="n">
        <v>0</v>
      </c>
      <c r="M110" t="n">
        <v>0</v>
      </c>
      <c r="N110" t="n">
        <v>0</v>
      </c>
      <c r="O110" t="n">
        <v>0</v>
      </c>
      <c r="P110" t="n">
        <v>0</v>
      </c>
      <c r="Q110" t="n">
        <v>0</v>
      </c>
      <c r="R110" s="2" t="inlineStr"/>
    </row>
    <row r="111" ht="15" customHeight="1">
      <c r="A111" t="inlineStr">
        <is>
          <t>A 27327-2025</t>
        </is>
      </c>
      <c r="B111" s="1" t="n">
        <v>45812.60753472222</v>
      </c>
      <c r="C111" s="1" t="n">
        <v>46084</v>
      </c>
      <c r="D111" t="inlineStr">
        <is>
          <t>JÖNKÖPINGS LÄN</t>
        </is>
      </c>
      <c r="E111" t="inlineStr">
        <is>
          <t>HABO</t>
        </is>
      </c>
      <c r="G111" t="n">
        <v>7.1</v>
      </c>
      <c r="H111" t="n">
        <v>0</v>
      </c>
      <c r="I111" t="n">
        <v>0</v>
      </c>
      <c r="J111" t="n">
        <v>0</v>
      </c>
      <c r="K111" t="n">
        <v>0</v>
      </c>
      <c r="L111" t="n">
        <v>0</v>
      </c>
      <c r="M111" t="n">
        <v>0</v>
      </c>
      <c r="N111" t="n">
        <v>0</v>
      </c>
      <c r="O111" t="n">
        <v>0</v>
      </c>
      <c r="P111" t="n">
        <v>0</v>
      </c>
      <c r="Q111" t="n">
        <v>0</v>
      </c>
      <c r="R111" s="2" t="inlineStr"/>
    </row>
    <row r="112" ht="15" customHeight="1">
      <c r="A112" t="inlineStr">
        <is>
          <t>A 53264-2022</t>
        </is>
      </c>
      <c r="B112" s="1" t="n">
        <v>44876</v>
      </c>
      <c r="C112" s="1" t="n">
        <v>46084</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27669-2025</t>
        </is>
      </c>
      <c r="B113" s="1" t="n">
        <v>45813.62425925926</v>
      </c>
      <c r="C113" s="1" t="n">
        <v>46084</v>
      </c>
      <c r="D113" t="inlineStr">
        <is>
          <t>JÖNKÖPINGS LÄN</t>
        </is>
      </c>
      <c r="E113" t="inlineStr">
        <is>
          <t>HABO</t>
        </is>
      </c>
      <c r="G113" t="n">
        <v>7.2</v>
      </c>
      <c r="H113" t="n">
        <v>0</v>
      </c>
      <c r="I113" t="n">
        <v>0</v>
      </c>
      <c r="J113" t="n">
        <v>0</v>
      </c>
      <c r="K113" t="n">
        <v>0</v>
      </c>
      <c r="L113" t="n">
        <v>0</v>
      </c>
      <c r="M113" t="n">
        <v>0</v>
      </c>
      <c r="N113" t="n">
        <v>0</v>
      </c>
      <c r="O113" t="n">
        <v>0</v>
      </c>
      <c r="P113" t="n">
        <v>0</v>
      </c>
      <c r="Q113" t="n">
        <v>0</v>
      </c>
      <c r="R113" s="2" t="inlineStr"/>
    </row>
    <row r="114" ht="15" customHeight="1">
      <c r="A114" t="inlineStr">
        <is>
          <t>A 24981-2025</t>
        </is>
      </c>
      <c r="B114" s="1" t="n">
        <v>45799.59719907407</v>
      </c>
      <c r="C114" s="1" t="n">
        <v>46084</v>
      </c>
      <c r="D114" t="inlineStr">
        <is>
          <t>JÖNKÖPINGS LÄN</t>
        </is>
      </c>
      <c r="E114" t="inlineStr">
        <is>
          <t>HABO</t>
        </is>
      </c>
      <c r="G114" t="n">
        <v>1.6</v>
      </c>
      <c r="H114" t="n">
        <v>0</v>
      </c>
      <c r="I114" t="n">
        <v>0</v>
      </c>
      <c r="J114" t="n">
        <v>0</v>
      </c>
      <c r="K114" t="n">
        <v>0</v>
      </c>
      <c r="L114" t="n">
        <v>0</v>
      </c>
      <c r="M114" t="n">
        <v>0</v>
      </c>
      <c r="N114" t="n">
        <v>0</v>
      </c>
      <c r="O114" t="n">
        <v>0</v>
      </c>
      <c r="P114" t="n">
        <v>0</v>
      </c>
      <c r="Q114" t="n">
        <v>0</v>
      </c>
      <c r="R114" s="2" t="inlineStr"/>
    </row>
    <row r="115" ht="15" customHeight="1">
      <c r="A115" t="inlineStr">
        <is>
          <t>A 27732-2025</t>
        </is>
      </c>
      <c r="B115" s="1" t="n">
        <v>45814.71005787037</v>
      </c>
      <c r="C115" s="1" t="n">
        <v>46084</v>
      </c>
      <c r="D115" t="inlineStr">
        <is>
          <t>JÖNKÖPINGS LÄN</t>
        </is>
      </c>
      <c r="E115" t="inlineStr">
        <is>
          <t>HABO</t>
        </is>
      </c>
      <c r="G115" t="n">
        <v>3</v>
      </c>
      <c r="H115" t="n">
        <v>0</v>
      </c>
      <c r="I115" t="n">
        <v>0</v>
      </c>
      <c r="J115" t="n">
        <v>0</v>
      </c>
      <c r="K115" t="n">
        <v>0</v>
      </c>
      <c r="L115" t="n">
        <v>0</v>
      </c>
      <c r="M115" t="n">
        <v>0</v>
      </c>
      <c r="N115" t="n">
        <v>0</v>
      </c>
      <c r="O115" t="n">
        <v>0</v>
      </c>
      <c r="P115" t="n">
        <v>0</v>
      </c>
      <c r="Q115" t="n">
        <v>0</v>
      </c>
      <c r="R115" s="2" t="inlineStr"/>
    </row>
    <row r="116" ht="15" customHeight="1">
      <c r="A116" t="inlineStr">
        <is>
          <t>A 25954-2024</t>
        </is>
      </c>
      <c r="B116" s="1" t="n">
        <v>45467.65891203703</v>
      </c>
      <c r="C116" s="1" t="n">
        <v>46084</v>
      </c>
      <c r="D116" t="inlineStr">
        <is>
          <t>JÖNKÖPINGS LÄN</t>
        </is>
      </c>
      <c r="E116" t="inlineStr">
        <is>
          <t>HABO</t>
        </is>
      </c>
      <c r="G116" t="n">
        <v>1.8</v>
      </c>
      <c r="H116" t="n">
        <v>0</v>
      </c>
      <c r="I116" t="n">
        <v>0</v>
      </c>
      <c r="J116" t="n">
        <v>0</v>
      </c>
      <c r="K116" t="n">
        <v>0</v>
      </c>
      <c r="L116" t="n">
        <v>0</v>
      </c>
      <c r="M116" t="n">
        <v>0</v>
      </c>
      <c r="N116" t="n">
        <v>0</v>
      </c>
      <c r="O116" t="n">
        <v>0</v>
      </c>
      <c r="P116" t="n">
        <v>0</v>
      </c>
      <c r="Q116" t="n">
        <v>0</v>
      </c>
      <c r="R116" s="2" t="inlineStr"/>
    </row>
    <row r="117" ht="15" customHeight="1">
      <c r="A117" t="inlineStr">
        <is>
          <t>A 56289-2023</t>
        </is>
      </c>
      <c r="B117" s="1" t="n">
        <v>45242.38527777778</v>
      </c>
      <c r="C117" s="1" t="n">
        <v>46084</v>
      </c>
      <c r="D117" t="inlineStr">
        <is>
          <t>JÖNKÖPINGS LÄN</t>
        </is>
      </c>
      <c r="E117" t="inlineStr">
        <is>
          <t>HABO</t>
        </is>
      </c>
      <c r="F117" t="inlineStr">
        <is>
          <t>Kyrkan</t>
        </is>
      </c>
      <c r="G117" t="n">
        <v>2</v>
      </c>
      <c r="H117" t="n">
        <v>0</v>
      </c>
      <c r="I117" t="n">
        <v>0</v>
      </c>
      <c r="J117" t="n">
        <v>0</v>
      </c>
      <c r="K117" t="n">
        <v>0</v>
      </c>
      <c r="L117" t="n">
        <v>0</v>
      </c>
      <c r="M117" t="n">
        <v>0</v>
      </c>
      <c r="N117" t="n">
        <v>0</v>
      </c>
      <c r="O117" t="n">
        <v>0</v>
      </c>
      <c r="P117" t="n">
        <v>0</v>
      </c>
      <c r="Q117" t="n">
        <v>0</v>
      </c>
      <c r="R117" s="2" t="inlineStr"/>
    </row>
    <row r="118" ht="15" customHeight="1">
      <c r="A118" t="inlineStr">
        <is>
          <t>A 41910-2022</t>
        </is>
      </c>
      <c r="B118" s="1" t="n">
        <v>44830</v>
      </c>
      <c r="C118" s="1" t="n">
        <v>46084</v>
      </c>
      <c r="D118" t="inlineStr">
        <is>
          <t>JÖNKÖPINGS LÄN</t>
        </is>
      </c>
      <c r="E118" t="inlineStr">
        <is>
          <t>HABO</t>
        </is>
      </c>
      <c r="G118" t="n">
        <v>7.6</v>
      </c>
      <c r="H118" t="n">
        <v>0</v>
      </c>
      <c r="I118" t="n">
        <v>0</v>
      </c>
      <c r="J118" t="n">
        <v>0</v>
      </c>
      <c r="K118" t="n">
        <v>0</v>
      </c>
      <c r="L118" t="n">
        <v>0</v>
      </c>
      <c r="M118" t="n">
        <v>0</v>
      </c>
      <c r="N118" t="n">
        <v>0</v>
      </c>
      <c r="O118" t="n">
        <v>0</v>
      </c>
      <c r="P118" t="n">
        <v>0</v>
      </c>
      <c r="Q118" t="n">
        <v>0</v>
      </c>
      <c r="R118" s="2" t="inlineStr"/>
    </row>
    <row r="119" ht="15" customHeight="1">
      <c r="A119" t="inlineStr">
        <is>
          <t>A 2861-2025</t>
        </is>
      </c>
      <c r="B119" s="1" t="n">
        <v>45677.67138888889</v>
      </c>
      <c r="C119" s="1" t="n">
        <v>46084</v>
      </c>
      <c r="D119" t="inlineStr">
        <is>
          <t>JÖNKÖPINGS LÄN</t>
        </is>
      </c>
      <c r="E119" t="inlineStr">
        <is>
          <t>HABO</t>
        </is>
      </c>
      <c r="G119" t="n">
        <v>0</v>
      </c>
      <c r="H119" t="n">
        <v>0</v>
      </c>
      <c r="I119" t="n">
        <v>0</v>
      </c>
      <c r="J119" t="n">
        <v>0</v>
      </c>
      <c r="K119" t="n">
        <v>0</v>
      </c>
      <c r="L119" t="n">
        <v>0</v>
      </c>
      <c r="M119" t="n">
        <v>0</v>
      </c>
      <c r="N119" t="n">
        <v>0</v>
      </c>
      <c r="O119" t="n">
        <v>0</v>
      </c>
      <c r="P119" t="n">
        <v>0</v>
      </c>
      <c r="Q119" t="n">
        <v>0</v>
      </c>
      <c r="R119" s="2" t="inlineStr"/>
    </row>
    <row r="120" ht="15" customHeight="1">
      <c r="A120" t="inlineStr">
        <is>
          <t>A 51027-2023</t>
        </is>
      </c>
      <c r="B120" s="1" t="n">
        <v>45218.6069212963</v>
      </c>
      <c r="C120" s="1" t="n">
        <v>46084</v>
      </c>
      <c r="D120" t="inlineStr">
        <is>
          <t>JÖNKÖPINGS LÄN</t>
        </is>
      </c>
      <c r="E120" t="inlineStr">
        <is>
          <t>HABO</t>
        </is>
      </c>
      <c r="G120" t="n">
        <v>3.5</v>
      </c>
      <c r="H120" t="n">
        <v>0</v>
      </c>
      <c r="I120" t="n">
        <v>0</v>
      </c>
      <c r="J120" t="n">
        <v>0</v>
      </c>
      <c r="K120" t="n">
        <v>0</v>
      </c>
      <c r="L120" t="n">
        <v>0</v>
      </c>
      <c r="M120" t="n">
        <v>0</v>
      </c>
      <c r="N120" t="n">
        <v>0</v>
      </c>
      <c r="O120" t="n">
        <v>0</v>
      </c>
      <c r="P120" t="n">
        <v>0</v>
      </c>
      <c r="Q120" t="n">
        <v>0</v>
      </c>
      <c r="R120" s="2" t="inlineStr"/>
    </row>
    <row r="121" ht="15" customHeight="1">
      <c r="A121" t="inlineStr">
        <is>
          <t>A 26932-2025</t>
        </is>
      </c>
      <c r="B121" s="1" t="n">
        <v>45811</v>
      </c>
      <c r="C121" s="1" t="n">
        <v>46084</v>
      </c>
      <c r="D121" t="inlineStr">
        <is>
          <t>JÖNKÖPINGS LÄN</t>
        </is>
      </c>
      <c r="E121" t="inlineStr">
        <is>
          <t>HABO</t>
        </is>
      </c>
      <c r="G121" t="n">
        <v>1.7</v>
      </c>
      <c r="H121" t="n">
        <v>0</v>
      </c>
      <c r="I121" t="n">
        <v>0</v>
      </c>
      <c r="J121" t="n">
        <v>0</v>
      </c>
      <c r="K121" t="n">
        <v>0</v>
      </c>
      <c r="L121" t="n">
        <v>0</v>
      </c>
      <c r="M121" t="n">
        <v>0</v>
      </c>
      <c r="N121" t="n">
        <v>0</v>
      </c>
      <c r="O121" t="n">
        <v>0</v>
      </c>
      <c r="P121" t="n">
        <v>0</v>
      </c>
      <c r="Q121" t="n">
        <v>0</v>
      </c>
      <c r="R121" s="2" t="inlineStr"/>
    </row>
    <row r="122" ht="15" customHeight="1">
      <c r="A122" t="inlineStr">
        <is>
          <t>A 59058-2024</t>
        </is>
      </c>
      <c r="B122" s="1" t="n">
        <v>45636</v>
      </c>
      <c r="C122" s="1" t="n">
        <v>46084</v>
      </c>
      <c r="D122" t="inlineStr">
        <is>
          <t>JÖNKÖPINGS LÄN</t>
        </is>
      </c>
      <c r="E122" t="inlineStr">
        <is>
          <t>HABO</t>
        </is>
      </c>
      <c r="G122" t="n">
        <v>0.4</v>
      </c>
      <c r="H122" t="n">
        <v>0</v>
      </c>
      <c r="I122" t="n">
        <v>0</v>
      </c>
      <c r="J122" t="n">
        <v>0</v>
      </c>
      <c r="K122" t="n">
        <v>0</v>
      </c>
      <c r="L122" t="n">
        <v>0</v>
      </c>
      <c r="M122" t="n">
        <v>0</v>
      </c>
      <c r="N122" t="n">
        <v>0</v>
      </c>
      <c r="O122" t="n">
        <v>0</v>
      </c>
      <c r="P122" t="n">
        <v>0</v>
      </c>
      <c r="Q122" t="n">
        <v>0</v>
      </c>
      <c r="R122" s="2" t="inlineStr"/>
    </row>
    <row r="123" ht="15" customHeight="1">
      <c r="A123" t="inlineStr">
        <is>
          <t>A 47532-2023</t>
        </is>
      </c>
      <c r="B123" s="1" t="n">
        <v>45203.35952546296</v>
      </c>
      <c r="C123" s="1" t="n">
        <v>46084</v>
      </c>
      <c r="D123" t="inlineStr">
        <is>
          <t>JÖNKÖPINGS LÄN</t>
        </is>
      </c>
      <c r="E123" t="inlineStr">
        <is>
          <t>HABO</t>
        </is>
      </c>
      <c r="G123" t="n">
        <v>2.5</v>
      </c>
      <c r="H123" t="n">
        <v>0</v>
      </c>
      <c r="I123" t="n">
        <v>0</v>
      </c>
      <c r="J123" t="n">
        <v>0</v>
      </c>
      <c r="K123" t="n">
        <v>0</v>
      </c>
      <c r="L123" t="n">
        <v>0</v>
      </c>
      <c r="M123" t="n">
        <v>0</v>
      </c>
      <c r="N123" t="n">
        <v>0</v>
      </c>
      <c r="O123" t="n">
        <v>0</v>
      </c>
      <c r="P123" t="n">
        <v>0</v>
      </c>
      <c r="Q123" t="n">
        <v>0</v>
      </c>
      <c r="R123" s="2" t="inlineStr"/>
    </row>
    <row r="124" ht="15" customHeight="1">
      <c r="A124" t="inlineStr">
        <is>
          <t>A 28780-2025</t>
        </is>
      </c>
      <c r="B124" s="1" t="n">
        <v>45820.45122685185</v>
      </c>
      <c r="C124" s="1" t="n">
        <v>46084</v>
      </c>
      <c r="D124" t="inlineStr">
        <is>
          <t>JÖNKÖPINGS LÄN</t>
        </is>
      </c>
      <c r="E124" t="inlineStr">
        <is>
          <t>HABO</t>
        </is>
      </c>
      <c r="G124" t="n">
        <v>2.3</v>
      </c>
      <c r="H124" t="n">
        <v>0</v>
      </c>
      <c r="I124" t="n">
        <v>0</v>
      </c>
      <c r="J124" t="n">
        <v>0</v>
      </c>
      <c r="K124" t="n">
        <v>0</v>
      </c>
      <c r="L124" t="n">
        <v>0</v>
      </c>
      <c r="M124" t="n">
        <v>0</v>
      </c>
      <c r="N124" t="n">
        <v>0</v>
      </c>
      <c r="O124" t="n">
        <v>0</v>
      </c>
      <c r="P124" t="n">
        <v>0</v>
      </c>
      <c r="Q124" t="n">
        <v>0</v>
      </c>
      <c r="R124" s="2" t="inlineStr"/>
    </row>
    <row r="125" ht="15" customHeight="1">
      <c r="A125" t="inlineStr">
        <is>
          <t>A 57755-2023</t>
        </is>
      </c>
      <c r="B125" s="1" t="n">
        <v>45246.79193287037</v>
      </c>
      <c r="C125" s="1" t="n">
        <v>46084</v>
      </c>
      <c r="D125" t="inlineStr">
        <is>
          <t>JÖNKÖPINGS LÄN</t>
        </is>
      </c>
      <c r="E125" t="inlineStr">
        <is>
          <t>HABO</t>
        </is>
      </c>
      <c r="G125" t="n">
        <v>2.9</v>
      </c>
      <c r="H125" t="n">
        <v>0</v>
      </c>
      <c r="I125" t="n">
        <v>0</v>
      </c>
      <c r="J125" t="n">
        <v>0</v>
      </c>
      <c r="K125" t="n">
        <v>0</v>
      </c>
      <c r="L125" t="n">
        <v>0</v>
      </c>
      <c r="M125" t="n">
        <v>0</v>
      </c>
      <c r="N125" t="n">
        <v>0</v>
      </c>
      <c r="O125" t="n">
        <v>0</v>
      </c>
      <c r="P125" t="n">
        <v>0</v>
      </c>
      <c r="Q125" t="n">
        <v>0</v>
      </c>
      <c r="R125" s="2" t="inlineStr"/>
    </row>
    <row r="126" ht="15" customHeight="1">
      <c r="A126" t="inlineStr">
        <is>
          <t>A 59433-2024</t>
        </is>
      </c>
      <c r="B126" s="1" t="n">
        <v>45638.42907407408</v>
      </c>
      <c r="C126" s="1" t="n">
        <v>46084</v>
      </c>
      <c r="D126" t="inlineStr">
        <is>
          <t>JÖNKÖPINGS LÄN</t>
        </is>
      </c>
      <c r="E126" t="inlineStr">
        <is>
          <t>HABO</t>
        </is>
      </c>
      <c r="G126" t="n">
        <v>10.4</v>
      </c>
      <c r="H126" t="n">
        <v>0</v>
      </c>
      <c r="I126" t="n">
        <v>0</v>
      </c>
      <c r="J126" t="n">
        <v>0</v>
      </c>
      <c r="K126" t="n">
        <v>0</v>
      </c>
      <c r="L126" t="n">
        <v>0</v>
      </c>
      <c r="M126" t="n">
        <v>0</v>
      </c>
      <c r="N126" t="n">
        <v>0</v>
      </c>
      <c r="O126" t="n">
        <v>0</v>
      </c>
      <c r="P126" t="n">
        <v>0</v>
      </c>
      <c r="Q126" t="n">
        <v>0</v>
      </c>
      <c r="R126" s="2" t="inlineStr"/>
    </row>
    <row r="127" ht="15" customHeight="1">
      <c r="A127" t="inlineStr">
        <is>
          <t>A 30274-2025</t>
        </is>
      </c>
      <c r="B127" s="1" t="n">
        <v>45827.45424768519</v>
      </c>
      <c r="C127" s="1" t="n">
        <v>46084</v>
      </c>
      <c r="D127" t="inlineStr">
        <is>
          <t>JÖNKÖPINGS LÄN</t>
        </is>
      </c>
      <c r="E127" t="inlineStr">
        <is>
          <t>HABO</t>
        </is>
      </c>
      <c r="G127" t="n">
        <v>0.6</v>
      </c>
      <c r="H127" t="n">
        <v>0</v>
      </c>
      <c r="I127" t="n">
        <v>0</v>
      </c>
      <c r="J127" t="n">
        <v>0</v>
      </c>
      <c r="K127" t="n">
        <v>0</v>
      </c>
      <c r="L127" t="n">
        <v>0</v>
      </c>
      <c r="M127" t="n">
        <v>0</v>
      </c>
      <c r="N127" t="n">
        <v>0</v>
      </c>
      <c r="O127" t="n">
        <v>0</v>
      </c>
      <c r="P127" t="n">
        <v>0</v>
      </c>
      <c r="Q127" t="n">
        <v>0</v>
      </c>
      <c r="R127" s="2" t="inlineStr"/>
    </row>
    <row r="128" ht="15" customHeight="1">
      <c r="A128" t="inlineStr">
        <is>
          <t>A 30272-2025</t>
        </is>
      </c>
      <c r="B128" s="1" t="n">
        <v>45827.45251157408</v>
      </c>
      <c r="C128" s="1" t="n">
        <v>46084</v>
      </c>
      <c r="D128" t="inlineStr">
        <is>
          <t>JÖNKÖPINGS LÄN</t>
        </is>
      </c>
      <c r="E128" t="inlineStr">
        <is>
          <t>HABO</t>
        </is>
      </c>
      <c r="G128" t="n">
        <v>0.9</v>
      </c>
      <c r="H128" t="n">
        <v>0</v>
      </c>
      <c r="I128" t="n">
        <v>0</v>
      </c>
      <c r="J128" t="n">
        <v>0</v>
      </c>
      <c r="K128" t="n">
        <v>0</v>
      </c>
      <c r="L128" t="n">
        <v>0</v>
      </c>
      <c r="M128" t="n">
        <v>0</v>
      </c>
      <c r="N128" t="n">
        <v>0</v>
      </c>
      <c r="O128" t="n">
        <v>0</v>
      </c>
      <c r="P128" t="n">
        <v>0</v>
      </c>
      <c r="Q128" t="n">
        <v>0</v>
      </c>
      <c r="R128" s="2" t="inlineStr"/>
    </row>
    <row r="129" ht="15" customHeight="1">
      <c r="A129" t="inlineStr">
        <is>
          <t>A 45321-2025</t>
        </is>
      </c>
      <c r="B129" s="1" t="n">
        <v>45922.28649305556</v>
      </c>
      <c r="C129" s="1" t="n">
        <v>46084</v>
      </c>
      <c r="D129" t="inlineStr">
        <is>
          <t>JÖNKÖPINGS LÄN</t>
        </is>
      </c>
      <c r="E129" t="inlineStr">
        <is>
          <t>HABO</t>
        </is>
      </c>
      <c r="G129" t="n">
        <v>1</v>
      </c>
      <c r="H129" t="n">
        <v>0</v>
      </c>
      <c r="I129" t="n">
        <v>0</v>
      </c>
      <c r="J129" t="n">
        <v>0</v>
      </c>
      <c r="K129" t="n">
        <v>0</v>
      </c>
      <c r="L129" t="n">
        <v>0</v>
      </c>
      <c r="M129" t="n">
        <v>0</v>
      </c>
      <c r="N129" t="n">
        <v>0</v>
      </c>
      <c r="O129" t="n">
        <v>0</v>
      </c>
      <c r="P129" t="n">
        <v>0</v>
      </c>
      <c r="Q129" t="n">
        <v>0</v>
      </c>
      <c r="R129" s="2" t="inlineStr"/>
    </row>
    <row r="130" ht="15" customHeight="1">
      <c r="A130" t="inlineStr">
        <is>
          <t>A 37802-2024</t>
        </is>
      </c>
      <c r="B130" s="1" t="n">
        <v>45543.56393518519</v>
      </c>
      <c r="C130" s="1" t="n">
        <v>46084</v>
      </c>
      <c r="D130" t="inlineStr">
        <is>
          <t>JÖNKÖPINGS LÄN</t>
        </is>
      </c>
      <c r="E130" t="inlineStr">
        <is>
          <t>HABO</t>
        </is>
      </c>
      <c r="G130" t="n">
        <v>2.8</v>
      </c>
      <c r="H130" t="n">
        <v>0</v>
      </c>
      <c r="I130" t="n">
        <v>0</v>
      </c>
      <c r="J130" t="n">
        <v>0</v>
      </c>
      <c r="K130" t="n">
        <v>0</v>
      </c>
      <c r="L130" t="n">
        <v>0</v>
      </c>
      <c r="M130" t="n">
        <v>0</v>
      </c>
      <c r="N130" t="n">
        <v>0</v>
      </c>
      <c r="O130" t="n">
        <v>0</v>
      </c>
      <c r="P130" t="n">
        <v>0</v>
      </c>
      <c r="Q130" t="n">
        <v>0</v>
      </c>
      <c r="R130" s="2" t="inlineStr"/>
    </row>
    <row r="131" ht="15" customHeight="1">
      <c r="A131" t="inlineStr">
        <is>
          <t>A 12606-2025</t>
        </is>
      </c>
      <c r="B131" s="1" t="n">
        <v>45733.31362268519</v>
      </c>
      <c r="C131" s="1" t="n">
        <v>46084</v>
      </c>
      <c r="D131" t="inlineStr">
        <is>
          <t>JÖNKÖPINGS LÄN</t>
        </is>
      </c>
      <c r="E131" t="inlineStr">
        <is>
          <t>HABO</t>
        </is>
      </c>
      <c r="G131" t="n">
        <v>1.7</v>
      </c>
      <c r="H131" t="n">
        <v>0</v>
      </c>
      <c r="I131" t="n">
        <v>0</v>
      </c>
      <c r="J131" t="n">
        <v>0</v>
      </c>
      <c r="K131" t="n">
        <v>0</v>
      </c>
      <c r="L131" t="n">
        <v>0</v>
      </c>
      <c r="M131" t="n">
        <v>0</v>
      </c>
      <c r="N131" t="n">
        <v>0</v>
      </c>
      <c r="O131" t="n">
        <v>0</v>
      </c>
      <c r="P131" t="n">
        <v>0</v>
      </c>
      <c r="Q131" t="n">
        <v>0</v>
      </c>
      <c r="R131" s="2" t="inlineStr"/>
    </row>
    <row r="132" ht="15" customHeight="1">
      <c r="A132" t="inlineStr">
        <is>
          <t>A 35779-2022</t>
        </is>
      </c>
      <c r="B132" s="1" t="n">
        <v>44801.57503472222</v>
      </c>
      <c r="C132" s="1" t="n">
        <v>46084</v>
      </c>
      <c r="D132" t="inlineStr">
        <is>
          <t>JÖNKÖPINGS LÄN</t>
        </is>
      </c>
      <c r="E132" t="inlineStr">
        <is>
          <t>HABO</t>
        </is>
      </c>
      <c r="G132" t="n">
        <v>1.5</v>
      </c>
      <c r="H132" t="n">
        <v>0</v>
      </c>
      <c r="I132" t="n">
        <v>0</v>
      </c>
      <c r="J132" t="n">
        <v>0</v>
      </c>
      <c r="K132" t="n">
        <v>0</v>
      </c>
      <c r="L132" t="n">
        <v>0</v>
      </c>
      <c r="M132" t="n">
        <v>0</v>
      </c>
      <c r="N132" t="n">
        <v>0</v>
      </c>
      <c r="O132" t="n">
        <v>0</v>
      </c>
      <c r="P132" t="n">
        <v>0</v>
      </c>
      <c r="Q132" t="n">
        <v>0</v>
      </c>
      <c r="R132" s="2" t="inlineStr"/>
    </row>
    <row r="133" ht="15" customHeight="1">
      <c r="A133" t="inlineStr">
        <is>
          <t>A 45322-2025</t>
        </is>
      </c>
      <c r="B133" s="1" t="n">
        <v>45922.29103009259</v>
      </c>
      <c r="C133" s="1" t="n">
        <v>46084</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31597-2025</t>
        </is>
      </c>
      <c r="B134" s="1" t="n">
        <v>45833.71021990741</v>
      </c>
      <c r="C134" s="1" t="n">
        <v>46084</v>
      </c>
      <c r="D134" t="inlineStr">
        <is>
          <t>JÖNKÖPINGS LÄN</t>
        </is>
      </c>
      <c r="E134" t="inlineStr">
        <is>
          <t>HABO</t>
        </is>
      </c>
      <c r="G134" t="n">
        <v>3.7</v>
      </c>
      <c r="H134" t="n">
        <v>0</v>
      </c>
      <c r="I134" t="n">
        <v>0</v>
      </c>
      <c r="J134" t="n">
        <v>0</v>
      </c>
      <c r="K134" t="n">
        <v>0</v>
      </c>
      <c r="L134" t="n">
        <v>0</v>
      </c>
      <c r="M134" t="n">
        <v>0</v>
      </c>
      <c r="N134" t="n">
        <v>0</v>
      </c>
      <c r="O134" t="n">
        <v>0</v>
      </c>
      <c r="P134" t="n">
        <v>0</v>
      </c>
      <c r="Q134" t="n">
        <v>0</v>
      </c>
      <c r="R134" s="2" t="inlineStr"/>
    </row>
    <row r="135" ht="15" customHeight="1">
      <c r="A135" t="inlineStr">
        <is>
          <t>A 45818-2025</t>
        </is>
      </c>
      <c r="B135" s="1" t="n">
        <v>45923.59528935186</v>
      </c>
      <c r="C135" s="1" t="n">
        <v>46084</v>
      </c>
      <c r="D135" t="inlineStr">
        <is>
          <t>JÖNKÖPINGS LÄN</t>
        </is>
      </c>
      <c r="E135" t="inlineStr">
        <is>
          <t>HABO</t>
        </is>
      </c>
      <c r="G135" t="n">
        <v>1.4</v>
      </c>
      <c r="H135" t="n">
        <v>0</v>
      </c>
      <c r="I135" t="n">
        <v>0</v>
      </c>
      <c r="J135" t="n">
        <v>0</v>
      </c>
      <c r="K135" t="n">
        <v>0</v>
      </c>
      <c r="L135" t="n">
        <v>0</v>
      </c>
      <c r="M135" t="n">
        <v>0</v>
      </c>
      <c r="N135" t="n">
        <v>0</v>
      </c>
      <c r="O135" t="n">
        <v>0</v>
      </c>
      <c r="P135" t="n">
        <v>0</v>
      </c>
      <c r="Q135" t="n">
        <v>0</v>
      </c>
      <c r="R135" s="2" t="inlineStr"/>
    </row>
    <row r="136" ht="15" customHeight="1">
      <c r="A136" t="inlineStr">
        <is>
          <t>A 30340-2023</t>
        </is>
      </c>
      <c r="B136" s="1" t="n">
        <v>45111.38814814815</v>
      </c>
      <c r="C136" s="1" t="n">
        <v>46084</v>
      </c>
      <c r="D136" t="inlineStr">
        <is>
          <t>JÖNKÖPINGS LÄN</t>
        </is>
      </c>
      <c r="E136" t="inlineStr">
        <is>
          <t>HABO</t>
        </is>
      </c>
      <c r="G136" t="n">
        <v>2.2</v>
      </c>
      <c r="H136" t="n">
        <v>0</v>
      </c>
      <c r="I136" t="n">
        <v>0</v>
      </c>
      <c r="J136" t="n">
        <v>0</v>
      </c>
      <c r="K136" t="n">
        <v>0</v>
      </c>
      <c r="L136" t="n">
        <v>0</v>
      </c>
      <c r="M136" t="n">
        <v>0</v>
      </c>
      <c r="N136" t="n">
        <v>0</v>
      </c>
      <c r="O136" t="n">
        <v>0</v>
      </c>
      <c r="P136" t="n">
        <v>0</v>
      </c>
      <c r="Q136" t="n">
        <v>0</v>
      </c>
      <c r="R136" s="2" t="inlineStr"/>
    </row>
    <row r="137" ht="15" customHeight="1">
      <c r="A137" t="inlineStr">
        <is>
          <t>A 48894-2024</t>
        </is>
      </c>
      <c r="B137" s="1" t="n">
        <v>45594.34311342592</v>
      </c>
      <c r="C137" s="1" t="n">
        <v>46084</v>
      </c>
      <c r="D137" t="inlineStr">
        <is>
          <t>JÖNKÖPINGS LÄN</t>
        </is>
      </c>
      <c r="E137" t="inlineStr">
        <is>
          <t>HABO</t>
        </is>
      </c>
      <c r="G137" t="n">
        <v>1</v>
      </c>
      <c r="H137" t="n">
        <v>0</v>
      </c>
      <c r="I137" t="n">
        <v>0</v>
      </c>
      <c r="J137" t="n">
        <v>0</v>
      </c>
      <c r="K137" t="n">
        <v>0</v>
      </c>
      <c r="L137" t="n">
        <v>0</v>
      </c>
      <c r="M137" t="n">
        <v>0</v>
      </c>
      <c r="N137" t="n">
        <v>0</v>
      </c>
      <c r="O137" t="n">
        <v>0</v>
      </c>
      <c r="P137" t="n">
        <v>0</v>
      </c>
      <c r="Q137" t="n">
        <v>0</v>
      </c>
      <c r="R137" s="2" t="inlineStr"/>
    </row>
    <row r="138" ht="15" customHeight="1">
      <c r="A138" t="inlineStr">
        <is>
          <t>A 4549-2025</t>
        </is>
      </c>
      <c r="B138" s="1" t="n">
        <v>45687.40525462963</v>
      </c>
      <c r="C138" s="1" t="n">
        <v>46084</v>
      </c>
      <c r="D138" t="inlineStr">
        <is>
          <t>JÖNKÖPINGS LÄN</t>
        </is>
      </c>
      <c r="E138" t="inlineStr">
        <is>
          <t>HABO</t>
        </is>
      </c>
      <c r="G138" t="n">
        <v>0.5</v>
      </c>
      <c r="H138" t="n">
        <v>0</v>
      </c>
      <c r="I138" t="n">
        <v>0</v>
      </c>
      <c r="J138" t="n">
        <v>0</v>
      </c>
      <c r="K138" t="n">
        <v>0</v>
      </c>
      <c r="L138" t="n">
        <v>0</v>
      </c>
      <c r="M138" t="n">
        <v>0</v>
      </c>
      <c r="N138" t="n">
        <v>0</v>
      </c>
      <c r="O138" t="n">
        <v>0</v>
      </c>
      <c r="P138" t="n">
        <v>0</v>
      </c>
      <c r="Q138" t="n">
        <v>0</v>
      </c>
      <c r="R138" s="2" t="inlineStr"/>
    </row>
    <row r="139" ht="15" customHeight="1">
      <c r="A139" t="inlineStr">
        <is>
          <t>A 32278-2025</t>
        </is>
      </c>
      <c r="B139" s="1" t="n">
        <v>45835.66958333334</v>
      </c>
      <c r="C139" s="1" t="n">
        <v>46084</v>
      </c>
      <c r="D139" t="inlineStr">
        <is>
          <t>JÖNKÖPINGS LÄN</t>
        </is>
      </c>
      <c r="E139" t="inlineStr">
        <is>
          <t>HABO</t>
        </is>
      </c>
      <c r="G139" t="n">
        <v>3.8</v>
      </c>
      <c r="H139" t="n">
        <v>0</v>
      </c>
      <c r="I139" t="n">
        <v>0</v>
      </c>
      <c r="J139" t="n">
        <v>0</v>
      </c>
      <c r="K139" t="n">
        <v>0</v>
      </c>
      <c r="L139" t="n">
        <v>0</v>
      </c>
      <c r="M139" t="n">
        <v>0</v>
      </c>
      <c r="N139" t="n">
        <v>0</v>
      </c>
      <c r="O139" t="n">
        <v>0</v>
      </c>
      <c r="P139" t="n">
        <v>0</v>
      </c>
      <c r="Q139" t="n">
        <v>0</v>
      </c>
      <c r="R139" s="2" t="inlineStr"/>
    </row>
    <row r="140" ht="15" customHeight="1">
      <c r="A140" t="inlineStr">
        <is>
          <t>A 46551-2025</t>
        </is>
      </c>
      <c r="B140" s="1" t="n">
        <v>45926.34577546296</v>
      </c>
      <c r="C140" s="1" t="n">
        <v>46084</v>
      </c>
      <c r="D140" t="inlineStr">
        <is>
          <t>JÖNKÖPINGS LÄN</t>
        </is>
      </c>
      <c r="E140" t="inlineStr">
        <is>
          <t>HABO</t>
        </is>
      </c>
      <c r="G140" t="n">
        <v>2.2</v>
      </c>
      <c r="H140" t="n">
        <v>0</v>
      </c>
      <c r="I140" t="n">
        <v>0</v>
      </c>
      <c r="J140" t="n">
        <v>0</v>
      </c>
      <c r="K140" t="n">
        <v>0</v>
      </c>
      <c r="L140" t="n">
        <v>0</v>
      </c>
      <c r="M140" t="n">
        <v>0</v>
      </c>
      <c r="N140" t="n">
        <v>0</v>
      </c>
      <c r="O140" t="n">
        <v>0</v>
      </c>
      <c r="P140" t="n">
        <v>0</v>
      </c>
      <c r="Q140" t="n">
        <v>0</v>
      </c>
      <c r="R140" s="2" t="inlineStr"/>
    </row>
    <row r="141" ht="15" customHeight="1">
      <c r="A141" t="inlineStr">
        <is>
          <t>A 31609-2025</t>
        </is>
      </c>
      <c r="B141" s="1" t="n">
        <v>45833.78055555555</v>
      </c>
      <c r="C141" s="1" t="n">
        <v>46084</v>
      </c>
      <c r="D141" t="inlineStr">
        <is>
          <t>JÖNKÖPINGS LÄN</t>
        </is>
      </c>
      <c r="E141" t="inlineStr">
        <is>
          <t>HABO</t>
        </is>
      </c>
      <c r="G141" t="n">
        <v>2.7</v>
      </c>
      <c r="H141" t="n">
        <v>0</v>
      </c>
      <c r="I141" t="n">
        <v>0</v>
      </c>
      <c r="J141" t="n">
        <v>0</v>
      </c>
      <c r="K141" t="n">
        <v>0</v>
      </c>
      <c r="L141" t="n">
        <v>0</v>
      </c>
      <c r="M141" t="n">
        <v>0</v>
      </c>
      <c r="N141" t="n">
        <v>0</v>
      </c>
      <c r="O141" t="n">
        <v>0</v>
      </c>
      <c r="P141" t="n">
        <v>0</v>
      </c>
      <c r="Q141" t="n">
        <v>0</v>
      </c>
      <c r="R141" s="2" t="inlineStr"/>
    </row>
    <row r="142" ht="15" customHeight="1">
      <c r="A142" t="inlineStr">
        <is>
          <t>A 46589-2025</t>
        </is>
      </c>
      <c r="B142" s="1" t="n">
        <v>45926</v>
      </c>
      <c r="C142" s="1" t="n">
        <v>46084</v>
      </c>
      <c r="D142" t="inlineStr">
        <is>
          <t>JÖNKÖPINGS LÄN</t>
        </is>
      </c>
      <c r="E142" t="inlineStr">
        <is>
          <t>HABO</t>
        </is>
      </c>
      <c r="G142" t="n">
        <v>2.8</v>
      </c>
      <c r="H142" t="n">
        <v>0</v>
      </c>
      <c r="I142" t="n">
        <v>0</v>
      </c>
      <c r="J142" t="n">
        <v>0</v>
      </c>
      <c r="K142" t="n">
        <v>0</v>
      </c>
      <c r="L142" t="n">
        <v>0</v>
      </c>
      <c r="M142" t="n">
        <v>0</v>
      </c>
      <c r="N142" t="n">
        <v>0</v>
      </c>
      <c r="O142" t="n">
        <v>0</v>
      </c>
      <c r="P142" t="n">
        <v>0</v>
      </c>
      <c r="Q142" t="n">
        <v>0</v>
      </c>
      <c r="R142" s="2" t="inlineStr"/>
    </row>
    <row r="143" ht="15" customHeight="1">
      <c r="A143" t="inlineStr">
        <is>
          <t>A 49849-2024</t>
        </is>
      </c>
      <c r="B143" s="1" t="n">
        <v>45597.4624537037</v>
      </c>
      <c r="C143" s="1" t="n">
        <v>46084</v>
      </c>
      <c r="D143" t="inlineStr">
        <is>
          <t>JÖNKÖPINGS LÄN</t>
        </is>
      </c>
      <c r="E143" t="inlineStr">
        <is>
          <t>HABO</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16727-2023</t>
        </is>
      </c>
      <c r="B144" s="1" t="n">
        <v>45030</v>
      </c>
      <c r="C144" s="1" t="n">
        <v>46084</v>
      </c>
      <c r="D144" t="inlineStr">
        <is>
          <t>JÖNKÖPINGS LÄN</t>
        </is>
      </c>
      <c r="E144" t="inlineStr">
        <is>
          <t>HABO</t>
        </is>
      </c>
      <c r="G144" t="n">
        <v>3.2</v>
      </c>
      <c r="H144" t="n">
        <v>0</v>
      </c>
      <c r="I144" t="n">
        <v>0</v>
      </c>
      <c r="J144" t="n">
        <v>0</v>
      </c>
      <c r="K144" t="n">
        <v>0</v>
      </c>
      <c r="L144" t="n">
        <v>0</v>
      </c>
      <c r="M144" t="n">
        <v>0</v>
      </c>
      <c r="N144" t="n">
        <v>0</v>
      </c>
      <c r="O144" t="n">
        <v>0</v>
      </c>
      <c r="P144" t="n">
        <v>0</v>
      </c>
      <c r="Q144" t="n">
        <v>0</v>
      </c>
      <c r="R144" s="2" t="inlineStr"/>
    </row>
    <row r="145" ht="15" customHeight="1">
      <c r="A145" t="inlineStr">
        <is>
          <t>A 49447-2024</t>
        </is>
      </c>
      <c r="B145" s="1" t="n">
        <v>45595.96028935185</v>
      </c>
      <c r="C145" s="1" t="n">
        <v>46084</v>
      </c>
      <c r="D145" t="inlineStr">
        <is>
          <t>JÖNKÖPINGS LÄN</t>
        </is>
      </c>
      <c r="E145" t="inlineStr">
        <is>
          <t>HABO</t>
        </is>
      </c>
      <c r="G145" t="n">
        <v>0.6</v>
      </c>
      <c r="H145" t="n">
        <v>0</v>
      </c>
      <c r="I145" t="n">
        <v>0</v>
      </c>
      <c r="J145" t="n">
        <v>0</v>
      </c>
      <c r="K145" t="n">
        <v>0</v>
      </c>
      <c r="L145" t="n">
        <v>0</v>
      </c>
      <c r="M145" t="n">
        <v>0</v>
      </c>
      <c r="N145" t="n">
        <v>0</v>
      </c>
      <c r="O145" t="n">
        <v>0</v>
      </c>
      <c r="P145" t="n">
        <v>0</v>
      </c>
      <c r="Q145" t="n">
        <v>0</v>
      </c>
      <c r="R145" s="2" t="inlineStr"/>
    </row>
    <row r="146" ht="15" customHeight="1">
      <c r="A146" t="inlineStr">
        <is>
          <t>A 26711-2024</t>
        </is>
      </c>
      <c r="B146" s="1" t="n">
        <v>45470.40313657407</v>
      </c>
      <c r="C146" s="1" t="n">
        <v>46084</v>
      </c>
      <c r="D146" t="inlineStr">
        <is>
          <t>JÖNKÖPINGS LÄN</t>
        </is>
      </c>
      <c r="E146" t="inlineStr">
        <is>
          <t>HABO</t>
        </is>
      </c>
      <c r="G146" t="n">
        <v>0.6</v>
      </c>
      <c r="H146" t="n">
        <v>0</v>
      </c>
      <c r="I146" t="n">
        <v>0</v>
      </c>
      <c r="J146" t="n">
        <v>0</v>
      </c>
      <c r="K146" t="n">
        <v>0</v>
      </c>
      <c r="L146" t="n">
        <v>0</v>
      </c>
      <c r="M146" t="n">
        <v>0</v>
      </c>
      <c r="N146" t="n">
        <v>0</v>
      </c>
      <c r="O146" t="n">
        <v>0</v>
      </c>
      <c r="P146" t="n">
        <v>0</v>
      </c>
      <c r="Q146" t="n">
        <v>0</v>
      </c>
      <c r="R146" s="2" t="inlineStr"/>
    </row>
    <row r="147" ht="15" customHeight="1">
      <c r="A147" t="inlineStr">
        <is>
          <t>A 54989-2024</t>
        </is>
      </c>
      <c r="B147" s="1" t="n">
        <v>45620.84454861111</v>
      </c>
      <c r="C147" s="1" t="n">
        <v>46084</v>
      </c>
      <c r="D147" t="inlineStr">
        <is>
          <t>JÖNKÖPINGS LÄN</t>
        </is>
      </c>
      <c r="E147" t="inlineStr">
        <is>
          <t>HABO</t>
        </is>
      </c>
      <c r="G147" t="n">
        <v>2.1</v>
      </c>
      <c r="H147" t="n">
        <v>0</v>
      </c>
      <c r="I147" t="n">
        <v>0</v>
      </c>
      <c r="J147" t="n">
        <v>0</v>
      </c>
      <c r="K147" t="n">
        <v>0</v>
      </c>
      <c r="L147" t="n">
        <v>0</v>
      </c>
      <c r="M147" t="n">
        <v>0</v>
      </c>
      <c r="N147" t="n">
        <v>0</v>
      </c>
      <c r="O147" t="n">
        <v>0</v>
      </c>
      <c r="P147" t="n">
        <v>0</v>
      </c>
      <c r="Q147" t="n">
        <v>0</v>
      </c>
      <c r="R147" s="2" t="inlineStr"/>
    </row>
    <row r="148" ht="15" customHeight="1">
      <c r="A148" t="inlineStr">
        <is>
          <t>A 54990-2024</t>
        </is>
      </c>
      <c r="B148" s="1" t="n">
        <v>45620.8468287037</v>
      </c>
      <c r="C148" s="1" t="n">
        <v>46084</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47773-2025</t>
        </is>
      </c>
      <c r="B149" s="1" t="n">
        <v>45931.72253472222</v>
      </c>
      <c r="C149" s="1" t="n">
        <v>46084</v>
      </c>
      <c r="D149" t="inlineStr">
        <is>
          <t>JÖNKÖPINGS LÄN</t>
        </is>
      </c>
      <c r="E149" t="inlineStr">
        <is>
          <t>HABO</t>
        </is>
      </c>
      <c r="G149" t="n">
        <v>1.2</v>
      </c>
      <c r="H149" t="n">
        <v>0</v>
      </c>
      <c r="I149" t="n">
        <v>0</v>
      </c>
      <c r="J149" t="n">
        <v>0</v>
      </c>
      <c r="K149" t="n">
        <v>0</v>
      </c>
      <c r="L149" t="n">
        <v>0</v>
      </c>
      <c r="M149" t="n">
        <v>0</v>
      </c>
      <c r="N149" t="n">
        <v>0</v>
      </c>
      <c r="O149" t="n">
        <v>0</v>
      </c>
      <c r="P149" t="n">
        <v>0</v>
      </c>
      <c r="Q149" t="n">
        <v>0</v>
      </c>
      <c r="R149" s="2" t="inlineStr"/>
    </row>
    <row r="150" ht="15" customHeight="1">
      <c r="A150" t="inlineStr">
        <is>
          <t>A 17294-2025</t>
        </is>
      </c>
      <c r="B150" s="1" t="n">
        <v>45756.5894675926</v>
      </c>
      <c r="C150" s="1" t="n">
        <v>46084</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48348-2025</t>
        </is>
      </c>
      <c r="B151" s="1" t="n">
        <v>45933.65431712963</v>
      </c>
      <c r="C151" s="1" t="n">
        <v>46084</v>
      </c>
      <c r="D151" t="inlineStr">
        <is>
          <t>JÖNKÖPINGS LÄN</t>
        </is>
      </c>
      <c r="E151" t="inlineStr">
        <is>
          <t>HABO</t>
        </is>
      </c>
      <c r="G151" t="n">
        <v>9.4</v>
      </c>
      <c r="H151" t="n">
        <v>0</v>
      </c>
      <c r="I151" t="n">
        <v>0</v>
      </c>
      <c r="J151" t="n">
        <v>0</v>
      </c>
      <c r="K151" t="n">
        <v>0</v>
      </c>
      <c r="L151" t="n">
        <v>0</v>
      </c>
      <c r="M151" t="n">
        <v>0</v>
      </c>
      <c r="N151" t="n">
        <v>0</v>
      </c>
      <c r="O151" t="n">
        <v>0</v>
      </c>
      <c r="P151" t="n">
        <v>0</v>
      </c>
      <c r="Q151" t="n">
        <v>0</v>
      </c>
      <c r="R151" s="2" t="inlineStr"/>
    </row>
    <row r="152" ht="15" customHeight="1">
      <c r="A152" t="inlineStr">
        <is>
          <t>A 23145-2024</t>
        </is>
      </c>
      <c r="B152" s="1" t="n">
        <v>45450.63736111111</v>
      </c>
      <c r="C152" s="1" t="n">
        <v>46084</v>
      </c>
      <c r="D152" t="inlineStr">
        <is>
          <t>JÖNKÖPINGS LÄN</t>
        </is>
      </c>
      <c r="E152" t="inlineStr">
        <is>
          <t>HABO</t>
        </is>
      </c>
      <c r="G152" t="n">
        <v>1</v>
      </c>
      <c r="H152" t="n">
        <v>0</v>
      </c>
      <c r="I152" t="n">
        <v>0</v>
      </c>
      <c r="J152" t="n">
        <v>0</v>
      </c>
      <c r="K152" t="n">
        <v>0</v>
      </c>
      <c r="L152" t="n">
        <v>0</v>
      </c>
      <c r="M152" t="n">
        <v>0</v>
      </c>
      <c r="N152" t="n">
        <v>0</v>
      </c>
      <c r="O152" t="n">
        <v>0</v>
      </c>
      <c r="P152" t="n">
        <v>0</v>
      </c>
      <c r="Q152" t="n">
        <v>0</v>
      </c>
      <c r="R152" s="2" t="inlineStr"/>
    </row>
    <row r="153" ht="15" customHeight="1">
      <c r="A153" t="inlineStr">
        <is>
          <t>A 23156-2024</t>
        </is>
      </c>
      <c r="B153" s="1" t="n">
        <v>45450.6659375</v>
      </c>
      <c r="C153" s="1" t="n">
        <v>46084</v>
      </c>
      <c r="D153" t="inlineStr">
        <is>
          <t>JÖNKÖPINGS LÄN</t>
        </is>
      </c>
      <c r="E153" t="inlineStr">
        <is>
          <t>HABO</t>
        </is>
      </c>
      <c r="G153" t="n">
        <v>7.5</v>
      </c>
      <c r="H153" t="n">
        <v>0</v>
      </c>
      <c r="I153" t="n">
        <v>0</v>
      </c>
      <c r="J153" t="n">
        <v>0</v>
      </c>
      <c r="K153" t="n">
        <v>0</v>
      </c>
      <c r="L153" t="n">
        <v>0</v>
      </c>
      <c r="M153" t="n">
        <v>0</v>
      </c>
      <c r="N153" t="n">
        <v>0</v>
      </c>
      <c r="O153" t="n">
        <v>0</v>
      </c>
      <c r="P153" t="n">
        <v>0</v>
      </c>
      <c r="Q153" t="n">
        <v>0</v>
      </c>
      <c r="R153" s="2" t="inlineStr"/>
    </row>
    <row r="154" ht="15" customHeight="1">
      <c r="A154" t="inlineStr">
        <is>
          <t>A 15251-2024</t>
        </is>
      </c>
      <c r="B154" s="1" t="n">
        <v>45400.53930555555</v>
      </c>
      <c r="C154" s="1" t="n">
        <v>46084</v>
      </c>
      <c r="D154" t="inlineStr">
        <is>
          <t>JÖNKÖPINGS LÄN</t>
        </is>
      </c>
      <c r="E154" t="inlineStr">
        <is>
          <t>HABO</t>
        </is>
      </c>
      <c r="G154" t="n">
        <v>0.3</v>
      </c>
      <c r="H154" t="n">
        <v>0</v>
      </c>
      <c r="I154" t="n">
        <v>0</v>
      </c>
      <c r="J154" t="n">
        <v>0</v>
      </c>
      <c r="K154" t="n">
        <v>0</v>
      </c>
      <c r="L154" t="n">
        <v>0</v>
      </c>
      <c r="M154" t="n">
        <v>0</v>
      </c>
      <c r="N154" t="n">
        <v>0</v>
      </c>
      <c r="O154" t="n">
        <v>0</v>
      </c>
      <c r="P154" t="n">
        <v>0</v>
      </c>
      <c r="Q154" t="n">
        <v>0</v>
      </c>
      <c r="R154" s="2" t="inlineStr"/>
    </row>
    <row r="155" ht="15" customHeight="1">
      <c r="A155" t="inlineStr">
        <is>
          <t>A 33706-2025</t>
        </is>
      </c>
      <c r="B155" s="1" t="n">
        <v>45841.78908564815</v>
      </c>
      <c r="C155" s="1" t="n">
        <v>46084</v>
      </c>
      <c r="D155" t="inlineStr">
        <is>
          <t>JÖNKÖPINGS LÄN</t>
        </is>
      </c>
      <c r="E155" t="inlineStr">
        <is>
          <t>HABO</t>
        </is>
      </c>
      <c r="G155" t="n">
        <v>1.1</v>
      </c>
      <c r="H155" t="n">
        <v>0</v>
      </c>
      <c r="I155" t="n">
        <v>0</v>
      </c>
      <c r="J155" t="n">
        <v>0</v>
      </c>
      <c r="K155" t="n">
        <v>0</v>
      </c>
      <c r="L155" t="n">
        <v>0</v>
      </c>
      <c r="M155" t="n">
        <v>0</v>
      </c>
      <c r="N155" t="n">
        <v>0</v>
      </c>
      <c r="O155" t="n">
        <v>0</v>
      </c>
      <c r="P155" t="n">
        <v>0</v>
      </c>
      <c r="Q155" t="n">
        <v>0</v>
      </c>
      <c r="R155" s="2" t="inlineStr"/>
    </row>
    <row r="156" ht="15" customHeight="1">
      <c r="A156" t="inlineStr">
        <is>
          <t>A 4957-2025</t>
        </is>
      </c>
      <c r="B156" s="1" t="n">
        <v>45689.57192129629</v>
      </c>
      <c r="C156" s="1" t="n">
        <v>46084</v>
      </c>
      <c r="D156" t="inlineStr">
        <is>
          <t>JÖNKÖPINGS LÄN</t>
        </is>
      </c>
      <c r="E156" t="inlineStr">
        <is>
          <t>HABO</t>
        </is>
      </c>
      <c r="G156" t="n">
        <v>1.5</v>
      </c>
      <c r="H156" t="n">
        <v>0</v>
      </c>
      <c r="I156" t="n">
        <v>0</v>
      </c>
      <c r="J156" t="n">
        <v>0</v>
      </c>
      <c r="K156" t="n">
        <v>0</v>
      </c>
      <c r="L156" t="n">
        <v>0</v>
      </c>
      <c r="M156" t="n">
        <v>0</v>
      </c>
      <c r="N156" t="n">
        <v>0</v>
      </c>
      <c r="O156" t="n">
        <v>0</v>
      </c>
      <c r="P156" t="n">
        <v>0</v>
      </c>
      <c r="Q156" t="n">
        <v>0</v>
      </c>
      <c r="R156" s="2" t="inlineStr"/>
    </row>
    <row r="157" ht="15" customHeight="1">
      <c r="A157" t="inlineStr">
        <is>
          <t>A 34452-2025</t>
        </is>
      </c>
      <c r="B157" s="1" t="n">
        <v>45846.86206018519</v>
      </c>
      <c r="C157" s="1" t="n">
        <v>46084</v>
      </c>
      <c r="D157" t="inlineStr">
        <is>
          <t>JÖNKÖPINGS LÄN</t>
        </is>
      </c>
      <c r="E157" t="inlineStr">
        <is>
          <t>HABO</t>
        </is>
      </c>
      <c r="G157" t="n">
        <v>0.9</v>
      </c>
      <c r="H157" t="n">
        <v>0</v>
      </c>
      <c r="I157" t="n">
        <v>0</v>
      </c>
      <c r="J157" t="n">
        <v>0</v>
      </c>
      <c r="K157" t="n">
        <v>0</v>
      </c>
      <c r="L157" t="n">
        <v>0</v>
      </c>
      <c r="M157" t="n">
        <v>0</v>
      </c>
      <c r="N157" t="n">
        <v>0</v>
      </c>
      <c r="O157" t="n">
        <v>0</v>
      </c>
      <c r="P157" t="n">
        <v>0</v>
      </c>
      <c r="Q157" t="n">
        <v>0</v>
      </c>
      <c r="R157" s="2" t="inlineStr"/>
    </row>
    <row r="158" ht="15" customHeight="1">
      <c r="A158" t="inlineStr">
        <is>
          <t>A 28685-2024</t>
        </is>
      </c>
      <c r="B158" s="1" t="n">
        <v>45478.48681712963</v>
      </c>
      <c r="C158" s="1" t="n">
        <v>46084</v>
      </c>
      <c r="D158" t="inlineStr">
        <is>
          <t>JÖNKÖPINGS LÄN</t>
        </is>
      </c>
      <c r="E158" t="inlineStr">
        <is>
          <t>HABO</t>
        </is>
      </c>
      <c r="G158" t="n">
        <v>0.7</v>
      </c>
      <c r="H158" t="n">
        <v>0</v>
      </c>
      <c r="I158" t="n">
        <v>0</v>
      </c>
      <c r="J158" t="n">
        <v>0</v>
      </c>
      <c r="K158" t="n">
        <v>0</v>
      </c>
      <c r="L158" t="n">
        <v>0</v>
      </c>
      <c r="M158" t="n">
        <v>0</v>
      </c>
      <c r="N158" t="n">
        <v>0</v>
      </c>
      <c r="O158" t="n">
        <v>0</v>
      </c>
      <c r="P158" t="n">
        <v>0</v>
      </c>
      <c r="Q158" t="n">
        <v>0</v>
      </c>
      <c r="R158" s="2" t="inlineStr"/>
    </row>
    <row r="159" ht="15" customHeight="1">
      <c r="A159" t="inlineStr">
        <is>
          <t>A 12999-2025</t>
        </is>
      </c>
      <c r="B159" s="1" t="n">
        <v>45734.49229166667</v>
      </c>
      <c r="C159" s="1" t="n">
        <v>46084</v>
      </c>
      <c r="D159" t="inlineStr">
        <is>
          <t>JÖNKÖPINGS LÄN</t>
        </is>
      </c>
      <c r="E159" t="inlineStr">
        <is>
          <t>HABO</t>
        </is>
      </c>
      <c r="G159" t="n">
        <v>1</v>
      </c>
      <c r="H159" t="n">
        <v>0</v>
      </c>
      <c r="I159" t="n">
        <v>0</v>
      </c>
      <c r="J159" t="n">
        <v>0</v>
      </c>
      <c r="K159" t="n">
        <v>0</v>
      </c>
      <c r="L159" t="n">
        <v>0</v>
      </c>
      <c r="M159" t="n">
        <v>0</v>
      </c>
      <c r="N159" t="n">
        <v>0</v>
      </c>
      <c r="O159" t="n">
        <v>0</v>
      </c>
      <c r="P159" t="n">
        <v>0</v>
      </c>
      <c r="Q159" t="n">
        <v>0</v>
      </c>
      <c r="R159" s="2" t="inlineStr"/>
    </row>
    <row r="160" ht="15" customHeight="1">
      <c r="A160" t="inlineStr">
        <is>
          <t>A 26882-2025</t>
        </is>
      </c>
      <c r="B160" s="1" t="n">
        <v>45810.84284722222</v>
      </c>
      <c r="C160" s="1" t="n">
        <v>46084</v>
      </c>
      <c r="D160" t="inlineStr">
        <is>
          <t>JÖNKÖPINGS LÄN</t>
        </is>
      </c>
      <c r="E160" t="inlineStr">
        <is>
          <t>HABO</t>
        </is>
      </c>
      <c r="G160" t="n">
        <v>4.2</v>
      </c>
      <c r="H160" t="n">
        <v>0</v>
      </c>
      <c r="I160" t="n">
        <v>0</v>
      </c>
      <c r="J160" t="n">
        <v>0</v>
      </c>
      <c r="K160" t="n">
        <v>0</v>
      </c>
      <c r="L160" t="n">
        <v>0</v>
      </c>
      <c r="M160" t="n">
        <v>0</v>
      </c>
      <c r="N160" t="n">
        <v>0</v>
      </c>
      <c r="O160" t="n">
        <v>0</v>
      </c>
      <c r="P160" t="n">
        <v>0</v>
      </c>
      <c r="Q160" t="n">
        <v>0</v>
      </c>
      <c r="R160" s="2" t="inlineStr"/>
    </row>
    <row r="161" ht="15" customHeight="1">
      <c r="A161" t="inlineStr">
        <is>
          <t>A 476-2024</t>
        </is>
      </c>
      <c r="B161" s="1" t="n">
        <v>45297.8840625</v>
      </c>
      <c r="C161" s="1" t="n">
        <v>46084</v>
      </c>
      <c r="D161" t="inlineStr">
        <is>
          <t>JÖNKÖPINGS LÄN</t>
        </is>
      </c>
      <c r="E161" t="inlineStr">
        <is>
          <t>HABO</t>
        </is>
      </c>
      <c r="G161" t="n">
        <v>3.1</v>
      </c>
      <c r="H161" t="n">
        <v>0</v>
      </c>
      <c r="I161" t="n">
        <v>0</v>
      </c>
      <c r="J161" t="n">
        <v>0</v>
      </c>
      <c r="K161" t="n">
        <v>0</v>
      </c>
      <c r="L161" t="n">
        <v>0</v>
      </c>
      <c r="M161" t="n">
        <v>0</v>
      </c>
      <c r="N161" t="n">
        <v>0</v>
      </c>
      <c r="O161" t="n">
        <v>0</v>
      </c>
      <c r="P161" t="n">
        <v>0</v>
      </c>
      <c r="Q161" t="n">
        <v>0</v>
      </c>
      <c r="R161" s="2" t="inlineStr"/>
    </row>
    <row r="162" ht="15" customHeight="1">
      <c r="A162" t="inlineStr">
        <is>
          <t>A 54988-2024</t>
        </is>
      </c>
      <c r="B162" s="1" t="n">
        <v>45620.84238425926</v>
      </c>
      <c r="C162" s="1" t="n">
        <v>46084</v>
      </c>
      <c r="D162" t="inlineStr">
        <is>
          <t>JÖNKÖPINGS LÄN</t>
        </is>
      </c>
      <c r="E162" t="inlineStr">
        <is>
          <t>HABO</t>
        </is>
      </c>
      <c r="G162" t="n">
        <v>1.1</v>
      </c>
      <c r="H162" t="n">
        <v>0</v>
      </c>
      <c r="I162" t="n">
        <v>0</v>
      </c>
      <c r="J162" t="n">
        <v>0</v>
      </c>
      <c r="K162" t="n">
        <v>0</v>
      </c>
      <c r="L162" t="n">
        <v>0</v>
      </c>
      <c r="M162" t="n">
        <v>0</v>
      </c>
      <c r="N162" t="n">
        <v>0</v>
      </c>
      <c r="O162" t="n">
        <v>0</v>
      </c>
      <c r="P162" t="n">
        <v>0</v>
      </c>
      <c r="Q162" t="n">
        <v>0</v>
      </c>
      <c r="R162" s="2" t="inlineStr"/>
    </row>
    <row r="163" ht="15" customHeight="1">
      <c r="A163" t="inlineStr">
        <is>
          <t>A 59439-2024</t>
        </is>
      </c>
      <c r="B163" s="1" t="n">
        <v>45638.43947916666</v>
      </c>
      <c r="C163" s="1" t="n">
        <v>46084</v>
      </c>
      <c r="D163" t="inlineStr">
        <is>
          <t>JÖNKÖPINGS LÄN</t>
        </is>
      </c>
      <c r="E163" t="inlineStr">
        <is>
          <t>HABO</t>
        </is>
      </c>
      <c r="G163" t="n">
        <v>4.3</v>
      </c>
      <c r="H163" t="n">
        <v>0</v>
      </c>
      <c r="I163" t="n">
        <v>0</v>
      </c>
      <c r="J163" t="n">
        <v>0</v>
      </c>
      <c r="K163" t="n">
        <v>0</v>
      </c>
      <c r="L163" t="n">
        <v>0</v>
      </c>
      <c r="M163" t="n">
        <v>0</v>
      </c>
      <c r="N163" t="n">
        <v>0</v>
      </c>
      <c r="O163" t="n">
        <v>0</v>
      </c>
      <c r="P163" t="n">
        <v>0</v>
      </c>
      <c r="Q163" t="n">
        <v>0</v>
      </c>
      <c r="R163" s="2" t="inlineStr"/>
    </row>
    <row r="164" ht="15" customHeight="1">
      <c r="A164" t="inlineStr">
        <is>
          <t>A 30863-2023</t>
        </is>
      </c>
      <c r="B164" s="1" t="n">
        <v>45113</v>
      </c>
      <c r="C164" s="1" t="n">
        <v>46084</v>
      </c>
      <c r="D164" t="inlineStr">
        <is>
          <t>JÖNKÖPINGS LÄN</t>
        </is>
      </c>
      <c r="E164" t="inlineStr">
        <is>
          <t>HABO</t>
        </is>
      </c>
      <c r="G164" t="n">
        <v>2.8</v>
      </c>
      <c r="H164" t="n">
        <v>0</v>
      </c>
      <c r="I164" t="n">
        <v>0</v>
      </c>
      <c r="J164" t="n">
        <v>0</v>
      </c>
      <c r="K164" t="n">
        <v>0</v>
      </c>
      <c r="L164" t="n">
        <v>0</v>
      </c>
      <c r="M164" t="n">
        <v>0</v>
      </c>
      <c r="N164" t="n">
        <v>0</v>
      </c>
      <c r="O164" t="n">
        <v>0</v>
      </c>
      <c r="P164" t="n">
        <v>0</v>
      </c>
      <c r="Q164" t="n">
        <v>0</v>
      </c>
      <c r="R164" s="2" t="inlineStr"/>
    </row>
    <row r="165" ht="15" customHeight="1">
      <c r="A165" t="inlineStr">
        <is>
          <t>A 55369-2024</t>
        </is>
      </c>
      <c r="B165" s="1" t="n">
        <v>45621.90494212963</v>
      </c>
      <c r="C165" s="1" t="n">
        <v>46084</v>
      </c>
      <c r="D165" t="inlineStr">
        <is>
          <t>JÖNKÖPINGS LÄN</t>
        </is>
      </c>
      <c r="E165" t="inlineStr">
        <is>
          <t>HABO</t>
        </is>
      </c>
      <c r="G165" t="n">
        <v>4.5</v>
      </c>
      <c r="H165" t="n">
        <v>0</v>
      </c>
      <c r="I165" t="n">
        <v>0</v>
      </c>
      <c r="J165" t="n">
        <v>0</v>
      </c>
      <c r="K165" t="n">
        <v>0</v>
      </c>
      <c r="L165" t="n">
        <v>0</v>
      </c>
      <c r="M165" t="n">
        <v>0</v>
      </c>
      <c r="N165" t="n">
        <v>0</v>
      </c>
      <c r="O165" t="n">
        <v>0</v>
      </c>
      <c r="P165" t="n">
        <v>0</v>
      </c>
      <c r="Q165" t="n">
        <v>0</v>
      </c>
      <c r="R165" s="2" t="inlineStr"/>
    </row>
    <row r="166" ht="15" customHeight="1">
      <c r="A166" t="inlineStr">
        <is>
          <t>A 55370-2024</t>
        </is>
      </c>
      <c r="B166" s="1" t="n">
        <v>45621.90680555555</v>
      </c>
      <c r="C166" s="1" t="n">
        <v>46084</v>
      </c>
      <c r="D166" t="inlineStr">
        <is>
          <t>JÖNKÖPINGS LÄN</t>
        </is>
      </c>
      <c r="E166" t="inlineStr">
        <is>
          <t>HABO</t>
        </is>
      </c>
      <c r="G166" t="n">
        <v>11.5</v>
      </c>
      <c r="H166" t="n">
        <v>0</v>
      </c>
      <c r="I166" t="n">
        <v>0</v>
      </c>
      <c r="J166" t="n">
        <v>0</v>
      </c>
      <c r="K166" t="n">
        <v>0</v>
      </c>
      <c r="L166" t="n">
        <v>0</v>
      </c>
      <c r="M166" t="n">
        <v>0</v>
      </c>
      <c r="N166" t="n">
        <v>0</v>
      </c>
      <c r="O166" t="n">
        <v>0</v>
      </c>
      <c r="P166" t="n">
        <v>0</v>
      </c>
      <c r="Q166" t="n">
        <v>0</v>
      </c>
      <c r="R166" s="2" t="inlineStr"/>
    </row>
    <row r="167" ht="15" customHeight="1">
      <c r="A167" t="inlineStr">
        <is>
          <t>A 55376-2024</t>
        </is>
      </c>
      <c r="B167" s="1" t="n">
        <v>45621.93943287037</v>
      </c>
      <c r="C167" s="1" t="n">
        <v>46084</v>
      </c>
      <c r="D167" t="inlineStr">
        <is>
          <t>JÖNKÖPINGS LÄN</t>
        </is>
      </c>
      <c r="E167" t="inlineStr">
        <is>
          <t>HABO</t>
        </is>
      </c>
      <c r="G167" t="n">
        <v>2.6</v>
      </c>
      <c r="H167" t="n">
        <v>0</v>
      </c>
      <c r="I167" t="n">
        <v>0</v>
      </c>
      <c r="J167" t="n">
        <v>0</v>
      </c>
      <c r="K167" t="n">
        <v>0</v>
      </c>
      <c r="L167" t="n">
        <v>0</v>
      </c>
      <c r="M167" t="n">
        <v>0</v>
      </c>
      <c r="N167" t="n">
        <v>0</v>
      </c>
      <c r="O167" t="n">
        <v>0</v>
      </c>
      <c r="P167" t="n">
        <v>0</v>
      </c>
      <c r="Q167" t="n">
        <v>0</v>
      </c>
      <c r="R167" s="2" t="inlineStr"/>
    </row>
    <row r="168" ht="15" customHeight="1">
      <c r="A168" t="inlineStr">
        <is>
          <t>A 40280-2024</t>
        </is>
      </c>
      <c r="B168" s="1" t="n">
        <v>45554</v>
      </c>
      <c r="C168" s="1" t="n">
        <v>46084</v>
      </c>
      <c r="D168" t="inlineStr">
        <is>
          <t>JÖNKÖPINGS LÄN</t>
        </is>
      </c>
      <c r="E168" t="inlineStr">
        <is>
          <t>HABO</t>
        </is>
      </c>
      <c r="G168" t="n">
        <v>6.9</v>
      </c>
      <c r="H168" t="n">
        <v>0</v>
      </c>
      <c r="I168" t="n">
        <v>0</v>
      </c>
      <c r="J168" t="n">
        <v>0</v>
      </c>
      <c r="K168" t="n">
        <v>0</v>
      </c>
      <c r="L168" t="n">
        <v>0</v>
      </c>
      <c r="M168" t="n">
        <v>0</v>
      </c>
      <c r="N168" t="n">
        <v>0</v>
      </c>
      <c r="O168" t="n">
        <v>0</v>
      </c>
      <c r="P168" t="n">
        <v>0</v>
      </c>
      <c r="Q168" t="n">
        <v>0</v>
      </c>
      <c r="R168" s="2" t="inlineStr"/>
    </row>
    <row r="169" ht="15" customHeight="1">
      <c r="A169" t="inlineStr">
        <is>
          <t>A 54693-2023</t>
        </is>
      </c>
      <c r="B169" s="1" t="n">
        <v>45236.28766203704</v>
      </c>
      <c r="C169" s="1" t="n">
        <v>46084</v>
      </c>
      <c r="D169" t="inlineStr">
        <is>
          <t>JÖNKÖPINGS LÄN</t>
        </is>
      </c>
      <c r="E169" t="inlineStr">
        <is>
          <t>HABO</t>
        </is>
      </c>
      <c r="G169" t="n">
        <v>5.3</v>
      </c>
      <c r="H169" t="n">
        <v>0</v>
      </c>
      <c r="I169" t="n">
        <v>0</v>
      </c>
      <c r="J169" t="n">
        <v>0</v>
      </c>
      <c r="K169" t="n">
        <v>0</v>
      </c>
      <c r="L169" t="n">
        <v>0</v>
      </c>
      <c r="M169" t="n">
        <v>0</v>
      </c>
      <c r="N169" t="n">
        <v>0</v>
      </c>
      <c r="O169" t="n">
        <v>0</v>
      </c>
      <c r="P169" t="n">
        <v>0</v>
      </c>
      <c r="Q169" t="n">
        <v>0</v>
      </c>
      <c r="R169" s="2" t="inlineStr"/>
    </row>
    <row r="170" ht="15" customHeight="1">
      <c r="A170" t="inlineStr">
        <is>
          <t>A 16108-2024</t>
        </is>
      </c>
      <c r="B170" s="1" t="n">
        <v>45406.46671296296</v>
      </c>
      <c r="C170" s="1" t="n">
        <v>46084</v>
      </c>
      <c r="D170" t="inlineStr">
        <is>
          <t>JÖNKÖPINGS LÄN</t>
        </is>
      </c>
      <c r="E170" t="inlineStr">
        <is>
          <t>HABO</t>
        </is>
      </c>
      <c r="G170" t="n">
        <v>0.8</v>
      </c>
      <c r="H170" t="n">
        <v>0</v>
      </c>
      <c r="I170" t="n">
        <v>0</v>
      </c>
      <c r="J170" t="n">
        <v>0</v>
      </c>
      <c r="K170" t="n">
        <v>0</v>
      </c>
      <c r="L170" t="n">
        <v>0</v>
      </c>
      <c r="M170" t="n">
        <v>0</v>
      </c>
      <c r="N170" t="n">
        <v>0</v>
      </c>
      <c r="O170" t="n">
        <v>0</v>
      </c>
      <c r="P170" t="n">
        <v>0</v>
      </c>
      <c r="Q170" t="n">
        <v>0</v>
      </c>
      <c r="R170" s="2" t="inlineStr"/>
    </row>
    <row r="171" ht="15" customHeight="1">
      <c r="A171" t="inlineStr">
        <is>
          <t>A 51447-2025</t>
        </is>
      </c>
      <c r="B171" s="1" t="n">
        <v>45950.5884375</v>
      </c>
      <c r="C171" s="1" t="n">
        <v>46084</v>
      </c>
      <c r="D171" t="inlineStr">
        <is>
          <t>JÖNKÖPINGS LÄN</t>
        </is>
      </c>
      <c r="E171" t="inlineStr">
        <is>
          <t>HABO</t>
        </is>
      </c>
      <c r="G171" t="n">
        <v>3.8</v>
      </c>
      <c r="H171" t="n">
        <v>0</v>
      </c>
      <c r="I171" t="n">
        <v>0</v>
      </c>
      <c r="J171" t="n">
        <v>0</v>
      </c>
      <c r="K171" t="n">
        <v>0</v>
      </c>
      <c r="L171" t="n">
        <v>0</v>
      </c>
      <c r="M171" t="n">
        <v>0</v>
      </c>
      <c r="N171" t="n">
        <v>0</v>
      </c>
      <c r="O171" t="n">
        <v>0</v>
      </c>
      <c r="P171" t="n">
        <v>0</v>
      </c>
      <c r="Q171" t="n">
        <v>0</v>
      </c>
      <c r="R171" s="2" t="inlineStr"/>
    </row>
    <row r="172" ht="15" customHeight="1">
      <c r="A172" t="inlineStr">
        <is>
          <t>A 51676-2025</t>
        </is>
      </c>
      <c r="B172" s="1" t="n">
        <v>45951.50607638889</v>
      </c>
      <c r="C172" s="1" t="n">
        <v>46084</v>
      </c>
      <c r="D172" t="inlineStr">
        <is>
          <t>JÖNKÖPINGS LÄN</t>
        </is>
      </c>
      <c r="E172" t="inlineStr">
        <is>
          <t>HABO</t>
        </is>
      </c>
      <c r="G172" t="n">
        <v>2.3</v>
      </c>
      <c r="H172" t="n">
        <v>0</v>
      </c>
      <c r="I172" t="n">
        <v>0</v>
      </c>
      <c r="J172" t="n">
        <v>0</v>
      </c>
      <c r="K172" t="n">
        <v>0</v>
      </c>
      <c r="L172" t="n">
        <v>0</v>
      </c>
      <c r="M172" t="n">
        <v>0</v>
      </c>
      <c r="N172" t="n">
        <v>0</v>
      </c>
      <c r="O172" t="n">
        <v>0</v>
      </c>
      <c r="P172" t="n">
        <v>0</v>
      </c>
      <c r="Q172" t="n">
        <v>0</v>
      </c>
      <c r="R172" s="2" t="inlineStr"/>
    </row>
    <row r="173" ht="15" customHeight="1">
      <c r="A173" t="inlineStr">
        <is>
          <t>A 51444-2023</t>
        </is>
      </c>
      <c r="B173" s="1" t="n">
        <v>45220.40077546296</v>
      </c>
      <c r="C173" s="1" t="n">
        <v>46084</v>
      </c>
      <c r="D173" t="inlineStr">
        <is>
          <t>JÖNKÖPINGS LÄN</t>
        </is>
      </c>
      <c r="E173" t="inlineStr">
        <is>
          <t>HABO</t>
        </is>
      </c>
      <c r="G173" t="n">
        <v>2.5</v>
      </c>
      <c r="H173" t="n">
        <v>0</v>
      </c>
      <c r="I173" t="n">
        <v>0</v>
      </c>
      <c r="J173" t="n">
        <v>0</v>
      </c>
      <c r="K173" t="n">
        <v>0</v>
      </c>
      <c r="L173" t="n">
        <v>0</v>
      </c>
      <c r="M173" t="n">
        <v>0</v>
      </c>
      <c r="N173" t="n">
        <v>0</v>
      </c>
      <c r="O173" t="n">
        <v>0</v>
      </c>
      <c r="P173" t="n">
        <v>0</v>
      </c>
      <c r="Q173" t="n">
        <v>0</v>
      </c>
      <c r="R173" s="2" t="inlineStr"/>
    </row>
    <row r="174" ht="15" customHeight="1">
      <c r="A174" t="inlineStr">
        <is>
          <t>A 8849-2024</t>
        </is>
      </c>
      <c r="B174" s="1" t="n">
        <v>45356.85099537037</v>
      </c>
      <c r="C174" s="1" t="n">
        <v>46084</v>
      </c>
      <c r="D174" t="inlineStr">
        <is>
          <t>JÖNKÖPINGS LÄN</t>
        </is>
      </c>
      <c r="E174" t="inlineStr">
        <is>
          <t>HABO</t>
        </is>
      </c>
      <c r="G174" t="n">
        <v>2</v>
      </c>
      <c r="H174" t="n">
        <v>0</v>
      </c>
      <c r="I174" t="n">
        <v>0</v>
      </c>
      <c r="J174" t="n">
        <v>0</v>
      </c>
      <c r="K174" t="n">
        <v>0</v>
      </c>
      <c r="L174" t="n">
        <v>0</v>
      </c>
      <c r="M174" t="n">
        <v>0</v>
      </c>
      <c r="N174" t="n">
        <v>0</v>
      </c>
      <c r="O174" t="n">
        <v>0</v>
      </c>
      <c r="P174" t="n">
        <v>0</v>
      </c>
      <c r="Q174" t="n">
        <v>0</v>
      </c>
      <c r="R174" s="2" t="inlineStr"/>
    </row>
    <row r="175" ht="15" customHeight="1">
      <c r="A175" t="inlineStr">
        <is>
          <t>A 54270-2024</t>
        </is>
      </c>
      <c r="B175" s="1" t="n">
        <v>45616.81366898148</v>
      </c>
      <c r="C175" s="1" t="n">
        <v>46084</v>
      </c>
      <c r="D175" t="inlineStr">
        <is>
          <t>JÖNKÖPINGS LÄN</t>
        </is>
      </c>
      <c r="E175" t="inlineStr">
        <is>
          <t>HABO</t>
        </is>
      </c>
      <c r="G175" t="n">
        <v>1.5</v>
      </c>
      <c r="H175" t="n">
        <v>0</v>
      </c>
      <c r="I175" t="n">
        <v>0</v>
      </c>
      <c r="J175" t="n">
        <v>0</v>
      </c>
      <c r="K175" t="n">
        <v>0</v>
      </c>
      <c r="L175" t="n">
        <v>0</v>
      </c>
      <c r="M175" t="n">
        <v>0</v>
      </c>
      <c r="N175" t="n">
        <v>0</v>
      </c>
      <c r="O175" t="n">
        <v>0</v>
      </c>
      <c r="P175" t="n">
        <v>0</v>
      </c>
      <c r="Q175" t="n">
        <v>0</v>
      </c>
      <c r="R175" s="2" t="inlineStr"/>
    </row>
    <row r="176" ht="15" customHeight="1">
      <c r="A176" t="inlineStr">
        <is>
          <t>A 679-2025</t>
        </is>
      </c>
      <c r="B176" s="1" t="n">
        <v>45664.84519675926</v>
      </c>
      <c r="C176" s="1" t="n">
        <v>46084</v>
      </c>
      <c r="D176" t="inlineStr">
        <is>
          <t>JÖNKÖPINGS LÄN</t>
        </is>
      </c>
      <c r="E176" t="inlineStr">
        <is>
          <t>HABO</t>
        </is>
      </c>
      <c r="G176" t="n">
        <v>3.2</v>
      </c>
      <c r="H176" t="n">
        <v>0</v>
      </c>
      <c r="I176" t="n">
        <v>0</v>
      </c>
      <c r="J176" t="n">
        <v>0</v>
      </c>
      <c r="K176" t="n">
        <v>0</v>
      </c>
      <c r="L176" t="n">
        <v>0</v>
      </c>
      <c r="M176" t="n">
        <v>0</v>
      </c>
      <c r="N176" t="n">
        <v>0</v>
      </c>
      <c r="O176" t="n">
        <v>0</v>
      </c>
      <c r="P176" t="n">
        <v>0</v>
      </c>
      <c r="Q176" t="n">
        <v>0</v>
      </c>
      <c r="R176" s="2" t="inlineStr"/>
    </row>
    <row r="177" ht="15" customHeight="1">
      <c r="A177" t="inlineStr">
        <is>
          <t>A 16458-2025</t>
        </is>
      </c>
      <c r="B177" s="1" t="n">
        <v>45751.52873842593</v>
      </c>
      <c r="C177" s="1" t="n">
        <v>46084</v>
      </c>
      <c r="D177" t="inlineStr">
        <is>
          <t>JÖNKÖPINGS LÄN</t>
        </is>
      </c>
      <c r="E177" t="inlineStr">
        <is>
          <t>HABO</t>
        </is>
      </c>
      <c r="G177" t="n">
        <v>2.5</v>
      </c>
      <c r="H177" t="n">
        <v>0</v>
      </c>
      <c r="I177" t="n">
        <v>0</v>
      </c>
      <c r="J177" t="n">
        <v>0</v>
      </c>
      <c r="K177" t="n">
        <v>0</v>
      </c>
      <c r="L177" t="n">
        <v>0</v>
      </c>
      <c r="M177" t="n">
        <v>0</v>
      </c>
      <c r="N177" t="n">
        <v>0</v>
      </c>
      <c r="O177" t="n">
        <v>0</v>
      </c>
      <c r="P177" t="n">
        <v>0</v>
      </c>
      <c r="Q177" t="n">
        <v>0</v>
      </c>
      <c r="R177" s="2" t="inlineStr"/>
    </row>
    <row r="178" ht="15" customHeight="1">
      <c r="A178" t="inlineStr">
        <is>
          <t>A 2073-2023</t>
        </is>
      </c>
      <c r="B178" s="1" t="n">
        <v>44939</v>
      </c>
      <c r="C178" s="1" t="n">
        <v>46084</v>
      </c>
      <c r="D178" t="inlineStr">
        <is>
          <t>JÖNKÖPINGS LÄN</t>
        </is>
      </c>
      <c r="E178" t="inlineStr">
        <is>
          <t>HABO</t>
        </is>
      </c>
      <c r="G178" t="n">
        <v>4.3</v>
      </c>
      <c r="H178" t="n">
        <v>0</v>
      </c>
      <c r="I178" t="n">
        <v>0</v>
      </c>
      <c r="J178" t="n">
        <v>0</v>
      </c>
      <c r="K178" t="n">
        <v>0</v>
      </c>
      <c r="L178" t="n">
        <v>0</v>
      </c>
      <c r="M178" t="n">
        <v>0</v>
      </c>
      <c r="N178" t="n">
        <v>0</v>
      </c>
      <c r="O178" t="n">
        <v>0</v>
      </c>
      <c r="P178" t="n">
        <v>0</v>
      </c>
      <c r="Q178" t="n">
        <v>0</v>
      </c>
      <c r="R178" s="2" t="inlineStr"/>
    </row>
    <row r="179" ht="15" customHeight="1">
      <c r="A179" t="inlineStr">
        <is>
          <t>A 1004-2022</t>
        </is>
      </c>
      <c r="B179" s="1" t="n">
        <v>44571.60380787037</v>
      </c>
      <c r="C179" s="1" t="n">
        <v>46084</v>
      </c>
      <c r="D179" t="inlineStr">
        <is>
          <t>JÖNKÖPINGS LÄN</t>
        </is>
      </c>
      <c r="E179" t="inlineStr">
        <is>
          <t>HABO</t>
        </is>
      </c>
      <c r="G179" t="n">
        <v>2.3</v>
      </c>
      <c r="H179" t="n">
        <v>0</v>
      </c>
      <c r="I179" t="n">
        <v>0</v>
      </c>
      <c r="J179" t="n">
        <v>0</v>
      </c>
      <c r="K179" t="n">
        <v>0</v>
      </c>
      <c r="L179" t="n">
        <v>0</v>
      </c>
      <c r="M179" t="n">
        <v>0</v>
      </c>
      <c r="N179" t="n">
        <v>0</v>
      </c>
      <c r="O179" t="n">
        <v>0</v>
      </c>
      <c r="P179" t="n">
        <v>0</v>
      </c>
      <c r="Q179" t="n">
        <v>0</v>
      </c>
      <c r="R179" s="2" t="inlineStr"/>
    </row>
    <row r="180" ht="15" customHeight="1">
      <c r="A180" t="inlineStr">
        <is>
          <t>A 28825-2022</t>
        </is>
      </c>
      <c r="B180" s="1" t="n">
        <v>44749</v>
      </c>
      <c r="C180" s="1" t="n">
        <v>46084</v>
      </c>
      <c r="D180" t="inlineStr">
        <is>
          <t>JÖNKÖPINGS LÄN</t>
        </is>
      </c>
      <c r="E180" t="inlineStr">
        <is>
          <t>HABO</t>
        </is>
      </c>
      <c r="G180" t="n">
        <v>1.7</v>
      </c>
      <c r="H180" t="n">
        <v>0</v>
      </c>
      <c r="I180" t="n">
        <v>0</v>
      </c>
      <c r="J180" t="n">
        <v>0</v>
      </c>
      <c r="K180" t="n">
        <v>0</v>
      </c>
      <c r="L180" t="n">
        <v>0</v>
      </c>
      <c r="M180" t="n">
        <v>0</v>
      </c>
      <c r="N180" t="n">
        <v>0</v>
      </c>
      <c r="O180" t="n">
        <v>0</v>
      </c>
      <c r="P180" t="n">
        <v>0</v>
      </c>
      <c r="Q180" t="n">
        <v>0</v>
      </c>
      <c r="R180" s="2" t="inlineStr"/>
    </row>
    <row r="181" ht="15" customHeight="1">
      <c r="A181" t="inlineStr">
        <is>
          <t>A 11906-2023</t>
        </is>
      </c>
      <c r="B181" s="1" t="n">
        <v>44995</v>
      </c>
      <c r="C181" s="1" t="n">
        <v>46084</v>
      </c>
      <c r="D181" t="inlineStr">
        <is>
          <t>JÖNKÖPINGS LÄN</t>
        </is>
      </c>
      <c r="E181" t="inlineStr">
        <is>
          <t>HABO</t>
        </is>
      </c>
      <c r="G181" t="n">
        <v>3.9</v>
      </c>
      <c r="H181" t="n">
        <v>0</v>
      </c>
      <c r="I181" t="n">
        <v>0</v>
      </c>
      <c r="J181" t="n">
        <v>0</v>
      </c>
      <c r="K181" t="n">
        <v>0</v>
      </c>
      <c r="L181" t="n">
        <v>0</v>
      </c>
      <c r="M181" t="n">
        <v>0</v>
      </c>
      <c r="N181" t="n">
        <v>0</v>
      </c>
      <c r="O181" t="n">
        <v>0</v>
      </c>
      <c r="P181" t="n">
        <v>0</v>
      </c>
      <c r="Q181" t="n">
        <v>0</v>
      </c>
      <c r="R181" s="2" t="inlineStr"/>
    </row>
    <row r="182" ht="15" customHeight="1">
      <c r="A182" t="inlineStr">
        <is>
          <t>A 26207-2023</t>
        </is>
      </c>
      <c r="B182" s="1" t="n">
        <v>45091.55079861111</v>
      </c>
      <c r="C182" s="1" t="n">
        <v>46084</v>
      </c>
      <c r="D182" t="inlineStr">
        <is>
          <t>JÖNKÖPINGS LÄN</t>
        </is>
      </c>
      <c r="E182" t="inlineStr">
        <is>
          <t>HABO</t>
        </is>
      </c>
      <c r="G182" t="n">
        <v>3</v>
      </c>
      <c r="H182" t="n">
        <v>0</v>
      </c>
      <c r="I182" t="n">
        <v>0</v>
      </c>
      <c r="J182" t="n">
        <v>0</v>
      </c>
      <c r="K182" t="n">
        <v>0</v>
      </c>
      <c r="L182" t="n">
        <v>0</v>
      </c>
      <c r="M182" t="n">
        <v>0</v>
      </c>
      <c r="N182" t="n">
        <v>0</v>
      </c>
      <c r="O182" t="n">
        <v>0</v>
      </c>
      <c r="P182" t="n">
        <v>0</v>
      </c>
      <c r="Q182" t="n">
        <v>0</v>
      </c>
      <c r="R182" s="2" t="inlineStr"/>
    </row>
    <row r="183" ht="15" customHeight="1">
      <c r="A183" t="inlineStr">
        <is>
          <t>A 53300-2022</t>
        </is>
      </c>
      <c r="B183" s="1" t="n">
        <v>44877</v>
      </c>
      <c r="C183" s="1" t="n">
        <v>46084</v>
      </c>
      <c r="D183" t="inlineStr">
        <is>
          <t>JÖNKÖPINGS LÄN</t>
        </is>
      </c>
      <c r="E183" t="inlineStr">
        <is>
          <t>HABO</t>
        </is>
      </c>
      <c r="G183" t="n">
        <v>2.2</v>
      </c>
      <c r="H183" t="n">
        <v>0</v>
      </c>
      <c r="I183" t="n">
        <v>0</v>
      </c>
      <c r="J183" t="n">
        <v>0</v>
      </c>
      <c r="K183" t="n">
        <v>0</v>
      </c>
      <c r="L183" t="n">
        <v>0</v>
      </c>
      <c r="M183" t="n">
        <v>0</v>
      </c>
      <c r="N183" t="n">
        <v>0</v>
      </c>
      <c r="O183" t="n">
        <v>0</v>
      </c>
      <c r="P183" t="n">
        <v>0</v>
      </c>
      <c r="Q183" t="n">
        <v>0</v>
      </c>
      <c r="R183" s="2" t="inlineStr"/>
    </row>
    <row r="184" ht="15" customHeight="1">
      <c r="A184" t="inlineStr">
        <is>
          <t>A 37128-2025</t>
        </is>
      </c>
      <c r="B184" s="1" t="n">
        <v>45875.54210648148</v>
      </c>
      <c r="C184" s="1" t="n">
        <v>46084</v>
      </c>
      <c r="D184" t="inlineStr">
        <is>
          <t>JÖNKÖPINGS LÄN</t>
        </is>
      </c>
      <c r="E184" t="inlineStr">
        <is>
          <t>HABO</t>
        </is>
      </c>
      <c r="G184" t="n">
        <v>4.3</v>
      </c>
      <c r="H184" t="n">
        <v>0</v>
      </c>
      <c r="I184" t="n">
        <v>0</v>
      </c>
      <c r="J184" t="n">
        <v>0</v>
      </c>
      <c r="K184" t="n">
        <v>0</v>
      </c>
      <c r="L184" t="n">
        <v>0</v>
      </c>
      <c r="M184" t="n">
        <v>0</v>
      </c>
      <c r="N184" t="n">
        <v>0</v>
      </c>
      <c r="O184" t="n">
        <v>0</v>
      </c>
      <c r="P184" t="n">
        <v>0</v>
      </c>
      <c r="Q184" t="n">
        <v>0</v>
      </c>
      <c r="R184" s="2" t="inlineStr"/>
    </row>
    <row r="185" ht="15" customHeight="1">
      <c r="A185" t="inlineStr">
        <is>
          <t>A 14724-2024</t>
        </is>
      </c>
      <c r="B185" s="1" t="n">
        <v>45397</v>
      </c>
      <c r="C185" s="1" t="n">
        <v>46084</v>
      </c>
      <c r="D185" t="inlineStr">
        <is>
          <t>JÖNKÖPINGS LÄN</t>
        </is>
      </c>
      <c r="E185" t="inlineStr">
        <is>
          <t>HABO</t>
        </is>
      </c>
      <c r="G185" t="n">
        <v>1</v>
      </c>
      <c r="H185" t="n">
        <v>0</v>
      </c>
      <c r="I185" t="n">
        <v>0</v>
      </c>
      <c r="J185" t="n">
        <v>0</v>
      </c>
      <c r="K185" t="n">
        <v>0</v>
      </c>
      <c r="L185" t="n">
        <v>0</v>
      </c>
      <c r="M185" t="n">
        <v>0</v>
      </c>
      <c r="N185" t="n">
        <v>0</v>
      </c>
      <c r="O185" t="n">
        <v>0</v>
      </c>
      <c r="P185" t="n">
        <v>0</v>
      </c>
      <c r="Q185" t="n">
        <v>0</v>
      </c>
      <c r="R185" s="2" t="inlineStr"/>
    </row>
    <row r="186" ht="15" customHeight="1">
      <c r="A186" t="inlineStr">
        <is>
          <t>A 37438-2025</t>
        </is>
      </c>
      <c r="B186" s="1" t="n">
        <v>45877.53517361111</v>
      </c>
      <c r="C186" s="1" t="n">
        <v>46084</v>
      </c>
      <c r="D186" t="inlineStr">
        <is>
          <t>JÖNKÖPINGS LÄN</t>
        </is>
      </c>
      <c r="E186" t="inlineStr">
        <is>
          <t>HABO</t>
        </is>
      </c>
      <c r="G186" t="n">
        <v>1.6</v>
      </c>
      <c r="H186" t="n">
        <v>0</v>
      </c>
      <c r="I186" t="n">
        <v>0</v>
      </c>
      <c r="J186" t="n">
        <v>0</v>
      </c>
      <c r="K186" t="n">
        <v>0</v>
      </c>
      <c r="L186" t="n">
        <v>0</v>
      </c>
      <c r="M186" t="n">
        <v>0</v>
      </c>
      <c r="N186" t="n">
        <v>0</v>
      </c>
      <c r="O186" t="n">
        <v>0</v>
      </c>
      <c r="P186" t="n">
        <v>0</v>
      </c>
      <c r="Q186" t="n">
        <v>0</v>
      </c>
      <c r="R186" s="2" t="inlineStr"/>
    </row>
    <row r="187" ht="15" customHeight="1">
      <c r="A187" t="inlineStr">
        <is>
          <t>A 1699-2024</t>
        </is>
      </c>
      <c r="B187" s="1" t="n">
        <v>45307</v>
      </c>
      <c r="C187" s="1" t="n">
        <v>46084</v>
      </c>
      <c r="D187" t="inlineStr">
        <is>
          <t>JÖNKÖPINGS LÄN</t>
        </is>
      </c>
      <c r="E187" t="inlineStr">
        <is>
          <t>HABO</t>
        </is>
      </c>
      <c r="G187" t="n">
        <v>1</v>
      </c>
      <c r="H187" t="n">
        <v>0</v>
      </c>
      <c r="I187" t="n">
        <v>0</v>
      </c>
      <c r="J187" t="n">
        <v>0</v>
      </c>
      <c r="K187" t="n">
        <v>0</v>
      </c>
      <c r="L187" t="n">
        <v>0</v>
      </c>
      <c r="M187" t="n">
        <v>0</v>
      </c>
      <c r="N187" t="n">
        <v>0</v>
      </c>
      <c r="O187" t="n">
        <v>0</v>
      </c>
      <c r="P187" t="n">
        <v>0</v>
      </c>
      <c r="Q187" t="n">
        <v>0</v>
      </c>
      <c r="R187" s="2" t="inlineStr"/>
    </row>
    <row r="188" ht="15" customHeight="1">
      <c r="A188" t="inlineStr">
        <is>
          <t>A 46062-2024</t>
        </is>
      </c>
      <c r="B188" s="1" t="n">
        <v>45580.94521990741</v>
      </c>
      <c r="C188" s="1" t="n">
        <v>46084</v>
      </c>
      <c r="D188" t="inlineStr">
        <is>
          <t>JÖNKÖPINGS LÄN</t>
        </is>
      </c>
      <c r="E188" t="inlineStr">
        <is>
          <t>HABO</t>
        </is>
      </c>
      <c r="G188" t="n">
        <v>1</v>
      </c>
      <c r="H188" t="n">
        <v>0</v>
      </c>
      <c r="I188" t="n">
        <v>0</v>
      </c>
      <c r="J188" t="n">
        <v>0</v>
      </c>
      <c r="K188" t="n">
        <v>0</v>
      </c>
      <c r="L188" t="n">
        <v>0</v>
      </c>
      <c r="M188" t="n">
        <v>0</v>
      </c>
      <c r="N188" t="n">
        <v>0</v>
      </c>
      <c r="O188" t="n">
        <v>0</v>
      </c>
      <c r="P188" t="n">
        <v>0</v>
      </c>
      <c r="Q188" t="n">
        <v>0</v>
      </c>
      <c r="R188" s="2" t="inlineStr"/>
    </row>
    <row r="189" ht="15" customHeight="1">
      <c r="A189" t="inlineStr">
        <is>
          <t>A 13880-2023</t>
        </is>
      </c>
      <c r="B189" s="1" t="n">
        <v>45007</v>
      </c>
      <c r="C189" s="1" t="n">
        <v>46084</v>
      </c>
      <c r="D189" t="inlineStr">
        <is>
          <t>JÖNKÖPINGS LÄN</t>
        </is>
      </c>
      <c r="E189" t="inlineStr">
        <is>
          <t>HABO</t>
        </is>
      </c>
      <c r="G189" t="n">
        <v>0.7</v>
      </c>
      <c r="H189" t="n">
        <v>0</v>
      </c>
      <c r="I189" t="n">
        <v>0</v>
      </c>
      <c r="J189" t="n">
        <v>0</v>
      </c>
      <c r="K189" t="n">
        <v>0</v>
      </c>
      <c r="L189" t="n">
        <v>0</v>
      </c>
      <c r="M189" t="n">
        <v>0</v>
      </c>
      <c r="N189" t="n">
        <v>0</v>
      </c>
      <c r="O189" t="n">
        <v>0</v>
      </c>
      <c r="P189" t="n">
        <v>0</v>
      </c>
      <c r="Q189" t="n">
        <v>0</v>
      </c>
      <c r="R189" s="2" t="inlineStr"/>
    </row>
    <row r="190" ht="15" customHeight="1">
      <c r="A190" t="inlineStr">
        <is>
          <t>A 55048-2025</t>
        </is>
      </c>
      <c r="B190" s="1" t="n">
        <v>45967.66598379629</v>
      </c>
      <c r="C190" s="1" t="n">
        <v>46084</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38065-2025</t>
        </is>
      </c>
      <c r="B191" s="1" t="n">
        <v>45882</v>
      </c>
      <c r="C191" s="1" t="n">
        <v>46084</v>
      </c>
      <c r="D191" t="inlineStr">
        <is>
          <t>JÖNKÖPINGS LÄN</t>
        </is>
      </c>
      <c r="E191" t="inlineStr">
        <is>
          <t>HABO</t>
        </is>
      </c>
      <c r="F191" t="inlineStr">
        <is>
          <t>Allmännings- och besparingsskogar</t>
        </is>
      </c>
      <c r="G191" t="n">
        <v>4.1</v>
      </c>
      <c r="H191" t="n">
        <v>0</v>
      </c>
      <c r="I191" t="n">
        <v>0</v>
      </c>
      <c r="J191" t="n">
        <v>0</v>
      </c>
      <c r="K191" t="n">
        <v>0</v>
      </c>
      <c r="L191" t="n">
        <v>0</v>
      </c>
      <c r="M191" t="n">
        <v>0</v>
      </c>
      <c r="N191" t="n">
        <v>0</v>
      </c>
      <c r="O191" t="n">
        <v>0</v>
      </c>
      <c r="P191" t="n">
        <v>0</v>
      </c>
      <c r="Q191" t="n">
        <v>0</v>
      </c>
      <c r="R191" s="2" t="inlineStr"/>
    </row>
    <row r="192" ht="15" customHeight="1">
      <c r="A192" t="inlineStr">
        <is>
          <t>A 36483-2023</t>
        </is>
      </c>
      <c r="B192" s="1" t="n">
        <v>45152.73112268518</v>
      </c>
      <c r="C192" s="1" t="n">
        <v>46084</v>
      </c>
      <c r="D192" t="inlineStr">
        <is>
          <t>JÖNKÖPINGS LÄN</t>
        </is>
      </c>
      <c r="E192" t="inlineStr">
        <is>
          <t>HABO</t>
        </is>
      </c>
      <c r="G192" t="n">
        <v>0.8</v>
      </c>
      <c r="H192" t="n">
        <v>0</v>
      </c>
      <c r="I192" t="n">
        <v>0</v>
      </c>
      <c r="J192" t="n">
        <v>0</v>
      </c>
      <c r="K192" t="n">
        <v>0</v>
      </c>
      <c r="L192" t="n">
        <v>0</v>
      </c>
      <c r="M192" t="n">
        <v>0</v>
      </c>
      <c r="N192" t="n">
        <v>0</v>
      </c>
      <c r="O192" t="n">
        <v>0</v>
      </c>
      <c r="P192" t="n">
        <v>0</v>
      </c>
      <c r="Q192" t="n">
        <v>0</v>
      </c>
      <c r="R192" s="2" t="inlineStr"/>
    </row>
    <row r="193" ht="15" customHeight="1">
      <c r="A193" t="inlineStr">
        <is>
          <t>A 38125-2025</t>
        </is>
      </c>
      <c r="B193" s="1" t="n">
        <v>45882.55325231481</v>
      </c>
      <c r="C193" s="1" t="n">
        <v>46084</v>
      </c>
      <c r="D193" t="inlineStr">
        <is>
          <t>JÖNKÖPINGS LÄN</t>
        </is>
      </c>
      <c r="E193" t="inlineStr">
        <is>
          <t>HABO</t>
        </is>
      </c>
      <c r="G193" t="n">
        <v>0.8</v>
      </c>
      <c r="H193" t="n">
        <v>0</v>
      </c>
      <c r="I193" t="n">
        <v>0</v>
      </c>
      <c r="J193" t="n">
        <v>0</v>
      </c>
      <c r="K193" t="n">
        <v>0</v>
      </c>
      <c r="L193" t="n">
        <v>0</v>
      </c>
      <c r="M193" t="n">
        <v>0</v>
      </c>
      <c r="N193" t="n">
        <v>0</v>
      </c>
      <c r="O193" t="n">
        <v>0</v>
      </c>
      <c r="P193" t="n">
        <v>0</v>
      </c>
      <c r="Q193" t="n">
        <v>0</v>
      </c>
      <c r="R193" s="2" t="inlineStr"/>
    </row>
    <row r="194" ht="15" customHeight="1">
      <c r="A194" t="inlineStr">
        <is>
          <t>A 38063-2025</t>
        </is>
      </c>
      <c r="B194" s="1" t="n">
        <v>45882</v>
      </c>
      <c r="C194" s="1" t="n">
        <v>46084</v>
      </c>
      <c r="D194" t="inlineStr">
        <is>
          <t>JÖNKÖPINGS LÄN</t>
        </is>
      </c>
      <c r="E194" t="inlineStr">
        <is>
          <t>HABO</t>
        </is>
      </c>
      <c r="F194" t="inlineStr">
        <is>
          <t>Allmännings- och besparingsskogar</t>
        </is>
      </c>
      <c r="G194" t="n">
        <v>11.4</v>
      </c>
      <c r="H194" t="n">
        <v>0</v>
      </c>
      <c r="I194" t="n">
        <v>0</v>
      </c>
      <c r="J194" t="n">
        <v>0</v>
      </c>
      <c r="K194" t="n">
        <v>0</v>
      </c>
      <c r="L194" t="n">
        <v>0</v>
      </c>
      <c r="M194" t="n">
        <v>0</v>
      </c>
      <c r="N194" t="n">
        <v>0</v>
      </c>
      <c r="O194" t="n">
        <v>0</v>
      </c>
      <c r="P194" t="n">
        <v>0</v>
      </c>
      <c r="Q194" t="n">
        <v>0</v>
      </c>
      <c r="R194" s="2" t="inlineStr"/>
    </row>
    <row r="195" ht="15" customHeight="1">
      <c r="A195" t="inlineStr">
        <is>
          <t>A 38067-2025</t>
        </is>
      </c>
      <c r="B195" s="1" t="n">
        <v>45882</v>
      </c>
      <c r="C195" s="1" t="n">
        <v>46084</v>
      </c>
      <c r="D195" t="inlineStr">
        <is>
          <t>JÖNKÖPINGS LÄN</t>
        </is>
      </c>
      <c r="E195" t="inlineStr">
        <is>
          <t>HABO</t>
        </is>
      </c>
      <c r="F195" t="inlineStr">
        <is>
          <t>Allmännings- och besparingsskogar</t>
        </is>
      </c>
      <c r="G195" t="n">
        <v>1.5</v>
      </c>
      <c r="H195" t="n">
        <v>0</v>
      </c>
      <c r="I195" t="n">
        <v>0</v>
      </c>
      <c r="J195" t="n">
        <v>0</v>
      </c>
      <c r="K195" t="n">
        <v>0</v>
      </c>
      <c r="L195" t="n">
        <v>0</v>
      </c>
      <c r="M195" t="n">
        <v>0</v>
      </c>
      <c r="N195" t="n">
        <v>0</v>
      </c>
      <c r="O195" t="n">
        <v>0</v>
      </c>
      <c r="P195" t="n">
        <v>0</v>
      </c>
      <c r="Q195" t="n">
        <v>0</v>
      </c>
      <c r="R195" s="2" t="inlineStr"/>
    </row>
    <row r="196" ht="15" customHeight="1">
      <c r="A196" t="inlineStr">
        <is>
          <t>A 38122-2025</t>
        </is>
      </c>
      <c r="B196" s="1" t="n">
        <v>45882.55258101852</v>
      </c>
      <c r="C196" s="1" t="n">
        <v>46084</v>
      </c>
      <c r="D196" t="inlineStr">
        <is>
          <t>JÖNKÖPINGS LÄN</t>
        </is>
      </c>
      <c r="E196" t="inlineStr">
        <is>
          <t>HABO</t>
        </is>
      </c>
      <c r="G196" t="n">
        <v>0.8</v>
      </c>
      <c r="H196" t="n">
        <v>0</v>
      </c>
      <c r="I196" t="n">
        <v>0</v>
      </c>
      <c r="J196" t="n">
        <v>0</v>
      </c>
      <c r="K196" t="n">
        <v>0</v>
      </c>
      <c r="L196" t="n">
        <v>0</v>
      </c>
      <c r="M196" t="n">
        <v>0</v>
      </c>
      <c r="N196" t="n">
        <v>0</v>
      </c>
      <c r="O196" t="n">
        <v>0</v>
      </c>
      <c r="P196" t="n">
        <v>0</v>
      </c>
      <c r="Q196" t="n">
        <v>0</v>
      </c>
      <c r="R196" s="2" t="inlineStr"/>
    </row>
    <row r="197" ht="15" customHeight="1">
      <c r="A197" t="inlineStr">
        <is>
          <t>A 31909-2024</t>
        </is>
      </c>
      <c r="B197" s="1" t="n">
        <v>45510.35284722222</v>
      </c>
      <c r="C197" s="1" t="n">
        <v>46084</v>
      </c>
      <c r="D197" t="inlineStr">
        <is>
          <t>JÖNKÖPINGS LÄN</t>
        </is>
      </c>
      <c r="E197" t="inlineStr">
        <is>
          <t>HABO</t>
        </is>
      </c>
      <c r="G197" t="n">
        <v>1.3</v>
      </c>
      <c r="H197" t="n">
        <v>0</v>
      </c>
      <c r="I197" t="n">
        <v>0</v>
      </c>
      <c r="J197" t="n">
        <v>0</v>
      </c>
      <c r="K197" t="n">
        <v>0</v>
      </c>
      <c r="L197" t="n">
        <v>0</v>
      </c>
      <c r="M197" t="n">
        <v>0</v>
      </c>
      <c r="N197" t="n">
        <v>0</v>
      </c>
      <c r="O197" t="n">
        <v>0</v>
      </c>
      <c r="P197" t="n">
        <v>0</v>
      </c>
      <c r="Q197" t="n">
        <v>0</v>
      </c>
      <c r="R197" s="2" t="inlineStr"/>
    </row>
    <row r="198" ht="15" customHeight="1">
      <c r="A198" t="inlineStr">
        <is>
          <t>A 45275-2024</t>
        </is>
      </c>
      <c r="B198" s="1" t="n">
        <v>45576.36652777778</v>
      </c>
      <c r="C198" s="1" t="n">
        <v>46084</v>
      </c>
      <c r="D198" t="inlineStr">
        <is>
          <t>JÖNKÖPINGS LÄN</t>
        </is>
      </c>
      <c r="E198" t="inlineStr">
        <is>
          <t>HABO</t>
        </is>
      </c>
      <c r="G198" t="n">
        <v>0.4</v>
      </c>
      <c r="H198" t="n">
        <v>0</v>
      </c>
      <c r="I198" t="n">
        <v>0</v>
      </c>
      <c r="J198" t="n">
        <v>0</v>
      </c>
      <c r="K198" t="n">
        <v>0</v>
      </c>
      <c r="L198" t="n">
        <v>0</v>
      </c>
      <c r="M198" t="n">
        <v>0</v>
      </c>
      <c r="N198" t="n">
        <v>0</v>
      </c>
      <c r="O198" t="n">
        <v>0</v>
      </c>
      <c r="P198" t="n">
        <v>0</v>
      </c>
      <c r="Q198" t="n">
        <v>0</v>
      </c>
      <c r="R198" s="2" t="inlineStr"/>
    </row>
    <row r="199" ht="15" customHeight="1">
      <c r="A199" t="inlineStr">
        <is>
          <t>A 55647-2025</t>
        </is>
      </c>
      <c r="B199" s="1" t="n">
        <v>45972</v>
      </c>
      <c r="C199" s="1" t="n">
        <v>46084</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58666-2024</t>
        </is>
      </c>
      <c r="B200" s="1" t="n">
        <v>45635.60771990741</v>
      </c>
      <c r="C200" s="1" t="n">
        <v>46084</v>
      </c>
      <c r="D200" t="inlineStr">
        <is>
          <t>JÖNKÖPINGS LÄN</t>
        </is>
      </c>
      <c r="E200" t="inlineStr">
        <is>
          <t>HABO</t>
        </is>
      </c>
      <c r="G200" t="n">
        <v>3.8</v>
      </c>
      <c r="H200" t="n">
        <v>0</v>
      </c>
      <c r="I200" t="n">
        <v>0</v>
      </c>
      <c r="J200" t="n">
        <v>0</v>
      </c>
      <c r="K200" t="n">
        <v>0</v>
      </c>
      <c r="L200" t="n">
        <v>0</v>
      </c>
      <c r="M200" t="n">
        <v>0</v>
      </c>
      <c r="N200" t="n">
        <v>0</v>
      </c>
      <c r="O200" t="n">
        <v>0</v>
      </c>
      <c r="P200" t="n">
        <v>0</v>
      </c>
      <c r="Q200" t="n">
        <v>0</v>
      </c>
      <c r="R200" s="2" t="inlineStr"/>
    </row>
    <row r="201" ht="15" customHeight="1">
      <c r="A201" t="inlineStr">
        <is>
          <t>A 56266-2025</t>
        </is>
      </c>
      <c r="B201" s="1" t="n">
        <v>45974.58144675926</v>
      </c>
      <c r="C201" s="1" t="n">
        <v>46084</v>
      </c>
      <c r="D201" t="inlineStr">
        <is>
          <t>JÖNKÖPINGS LÄN</t>
        </is>
      </c>
      <c r="E201" t="inlineStr">
        <is>
          <t>HABO</t>
        </is>
      </c>
      <c r="G201" t="n">
        <v>1.4</v>
      </c>
      <c r="H201" t="n">
        <v>0</v>
      </c>
      <c r="I201" t="n">
        <v>0</v>
      </c>
      <c r="J201" t="n">
        <v>0</v>
      </c>
      <c r="K201" t="n">
        <v>0</v>
      </c>
      <c r="L201" t="n">
        <v>0</v>
      </c>
      <c r="M201" t="n">
        <v>0</v>
      </c>
      <c r="N201" t="n">
        <v>0</v>
      </c>
      <c r="O201" t="n">
        <v>0</v>
      </c>
      <c r="P201" t="n">
        <v>0</v>
      </c>
      <c r="Q201" t="n">
        <v>0</v>
      </c>
      <c r="R201" s="2" t="inlineStr"/>
    </row>
    <row r="202" ht="15" customHeight="1">
      <c r="A202" t="inlineStr">
        <is>
          <t>A 57422-2023</t>
        </is>
      </c>
      <c r="B202" s="1" t="n">
        <v>45246</v>
      </c>
      <c r="C202" s="1" t="n">
        <v>46084</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35775-2022</t>
        </is>
      </c>
      <c r="B203" s="1" t="n">
        <v>44801.56965277778</v>
      </c>
      <c r="C203" s="1" t="n">
        <v>46084</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27791-2024</t>
        </is>
      </c>
      <c r="B204" s="1" t="n">
        <v>45475.55299768518</v>
      </c>
      <c r="C204" s="1" t="n">
        <v>46084</v>
      </c>
      <c r="D204" t="inlineStr">
        <is>
          <t>JÖNKÖPINGS LÄN</t>
        </is>
      </c>
      <c r="E204" t="inlineStr">
        <is>
          <t>HABO</t>
        </is>
      </c>
      <c r="G204" t="n">
        <v>5</v>
      </c>
      <c r="H204" t="n">
        <v>0</v>
      </c>
      <c r="I204" t="n">
        <v>0</v>
      </c>
      <c r="J204" t="n">
        <v>0</v>
      </c>
      <c r="K204" t="n">
        <v>0</v>
      </c>
      <c r="L204" t="n">
        <v>0</v>
      </c>
      <c r="M204" t="n">
        <v>0</v>
      </c>
      <c r="N204" t="n">
        <v>0</v>
      </c>
      <c r="O204" t="n">
        <v>0</v>
      </c>
      <c r="P204" t="n">
        <v>0</v>
      </c>
      <c r="Q204" t="n">
        <v>0</v>
      </c>
      <c r="R204" s="2" t="inlineStr"/>
    </row>
    <row r="205" ht="15" customHeight="1">
      <c r="A205" t="inlineStr">
        <is>
          <t>A 27794-2024</t>
        </is>
      </c>
      <c r="B205" s="1" t="n">
        <v>45475.55913194444</v>
      </c>
      <c r="C205" s="1" t="n">
        <v>46084</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32331-2023</t>
        </is>
      </c>
      <c r="B206" s="1" t="n">
        <v>45120</v>
      </c>
      <c r="C206" s="1" t="n">
        <v>46084</v>
      </c>
      <c r="D206" t="inlineStr">
        <is>
          <t>JÖNKÖPINGS LÄN</t>
        </is>
      </c>
      <c r="E206" t="inlineStr">
        <is>
          <t>HABO</t>
        </is>
      </c>
      <c r="G206" t="n">
        <v>1.4</v>
      </c>
      <c r="H206" t="n">
        <v>0</v>
      </c>
      <c r="I206" t="n">
        <v>0</v>
      </c>
      <c r="J206" t="n">
        <v>0</v>
      </c>
      <c r="K206" t="n">
        <v>0</v>
      </c>
      <c r="L206" t="n">
        <v>0</v>
      </c>
      <c r="M206" t="n">
        <v>0</v>
      </c>
      <c r="N206" t="n">
        <v>0</v>
      </c>
      <c r="O206" t="n">
        <v>0</v>
      </c>
      <c r="P206" t="n">
        <v>0</v>
      </c>
      <c r="Q206" t="n">
        <v>0</v>
      </c>
      <c r="R206" s="2" t="inlineStr"/>
    </row>
    <row r="207" ht="15" customHeight="1">
      <c r="A207" t="inlineStr">
        <is>
          <t>A 10330-2025</t>
        </is>
      </c>
      <c r="B207" s="1" t="n">
        <v>45720</v>
      </c>
      <c r="C207" s="1" t="n">
        <v>46084</v>
      </c>
      <c r="D207" t="inlineStr">
        <is>
          <t>JÖNKÖPINGS LÄN</t>
        </is>
      </c>
      <c r="E207" t="inlineStr">
        <is>
          <t>HABO</t>
        </is>
      </c>
      <c r="G207" t="n">
        <v>1.7</v>
      </c>
      <c r="H207" t="n">
        <v>0</v>
      </c>
      <c r="I207" t="n">
        <v>0</v>
      </c>
      <c r="J207" t="n">
        <v>0</v>
      </c>
      <c r="K207" t="n">
        <v>0</v>
      </c>
      <c r="L207" t="n">
        <v>0</v>
      </c>
      <c r="M207" t="n">
        <v>0</v>
      </c>
      <c r="N207" t="n">
        <v>0</v>
      </c>
      <c r="O207" t="n">
        <v>0</v>
      </c>
      <c r="P207" t="n">
        <v>0</v>
      </c>
      <c r="Q207" t="n">
        <v>0</v>
      </c>
      <c r="R207" s="2" t="inlineStr"/>
    </row>
    <row r="208" ht="15" customHeight="1">
      <c r="A208" t="inlineStr">
        <is>
          <t>A 17519-2025</t>
        </is>
      </c>
      <c r="B208" s="1" t="n">
        <v>45757.57725694445</v>
      </c>
      <c r="C208" s="1" t="n">
        <v>46084</v>
      </c>
      <c r="D208" t="inlineStr">
        <is>
          <t>JÖNKÖPINGS LÄN</t>
        </is>
      </c>
      <c r="E208" t="inlineStr">
        <is>
          <t>HABO</t>
        </is>
      </c>
      <c r="G208" t="n">
        <v>0.6</v>
      </c>
      <c r="H208" t="n">
        <v>0</v>
      </c>
      <c r="I208" t="n">
        <v>0</v>
      </c>
      <c r="J208" t="n">
        <v>0</v>
      </c>
      <c r="K208" t="n">
        <v>0</v>
      </c>
      <c r="L208" t="n">
        <v>0</v>
      </c>
      <c r="M208" t="n">
        <v>0</v>
      </c>
      <c r="N208" t="n">
        <v>0</v>
      </c>
      <c r="O208" t="n">
        <v>0</v>
      </c>
      <c r="P208" t="n">
        <v>0</v>
      </c>
      <c r="Q208" t="n">
        <v>0</v>
      </c>
      <c r="R208" s="2" t="inlineStr"/>
    </row>
    <row r="209" ht="15" customHeight="1">
      <c r="A209" t="inlineStr">
        <is>
          <t>A 17520-2025</t>
        </is>
      </c>
      <c r="B209" s="1" t="n">
        <v>45757.57844907408</v>
      </c>
      <c r="C209" s="1" t="n">
        <v>46084</v>
      </c>
      <c r="D209" t="inlineStr">
        <is>
          <t>JÖNKÖPINGS LÄN</t>
        </is>
      </c>
      <c r="E209" t="inlineStr">
        <is>
          <t>HABO</t>
        </is>
      </c>
      <c r="G209" t="n">
        <v>1.7</v>
      </c>
      <c r="H209" t="n">
        <v>0</v>
      </c>
      <c r="I209" t="n">
        <v>0</v>
      </c>
      <c r="J209" t="n">
        <v>0</v>
      </c>
      <c r="K209" t="n">
        <v>0</v>
      </c>
      <c r="L209" t="n">
        <v>0</v>
      </c>
      <c r="M209" t="n">
        <v>0</v>
      </c>
      <c r="N209" t="n">
        <v>0</v>
      </c>
      <c r="O209" t="n">
        <v>0</v>
      </c>
      <c r="P209" t="n">
        <v>0</v>
      </c>
      <c r="Q209" t="n">
        <v>0</v>
      </c>
      <c r="R209" s="2" t="inlineStr"/>
    </row>
    <row r="210" ht="15" customHeight="1">
      <c r="A210" t="inlineStr">
        <is>
          <t>A 47836-2023</t>
        </is>
      </c>
      <c r="B210" s="1" t="n">
        <v>45204.37240740741</v>
      </c>
      <c r="C210" s="1" t="n">
        <v>46084</v>
      </c>
      <c r="D210" t="inlineStr">
        <is>
          <t>JÖNKÖPINGS LÄN</t>
        </is>
      </c>
      <c r="E210" t="inlineStr">
        <is>
          <t>HABO</t>
        </is>
      </c>
      <c r="G210" t="n">
        <v>4.8</v>
      </c>
      <c r="H210" t="n">
        <v>0</v>
      </c>
      <c r="I210" t="n">
        <v>0</v>
      </c>
      <c r="J210" t="n">
        <v>0</v>
      </c>
      <c r="K210" t="n">
        <v>0</v>
      </c>
      <c r="L210" t="n">
        <v>0</v>
      </c>
      <c r="M210" t="n">
        <v>0</v>
      </c>
      <c r="N210" t="n">
        <v>0</v>
      </c>
      <c r="O210" t="n">
        <v>0</v>
      </c>
      <c r="P210" t="n">
        <v>0</v>
      </c>
      <c r="Q210" t="n">
        <v>0</v>
      </c>
      <c r="R210" s="2" t="inlineStr"/>
    </row>
    <row r="211" ht="15" customHeight="1">
      <c r="A211" t="inlineStr">
        <is>
          <t>A 9016-2026</t>
        </is>
      </c>
      <c r="B211" s="1" t="n">
        <v>46069.49152777778</v>
      </c>
      <c r="C211" s="1" t="n">
        <v>46084</v>
      </c>
      <c r="D211" t="inlineStr">
        <is>
          <t>JÖNKÖPINGS LÄN</t>
        </is>
      </c>
      <c r="E211" t="inlineStr">
        <is>
          <t>HABO</t>
        </is>
      </c>
      <c r="G211" t="n">
        <v>6</v>
      </c>
      <c r="H211" t="n">
        <v>0</v>
      </c>
      <c r="I211" t="n">
        <v>0</v>
      </c>
      <c r="J211" t="n">
        <v>0</v>
      </c>
      <c r="K211" t="n">
        <v>0</v>
      </c>
      <c r="L211" t="n">
        <v>0</v>
      </c>
      <c r="M211" t="n">
        <v>0</v>
      </c>
      <c r="N211" t="n">
        <v>0</v>
      </c>
      <c r="O211" t="n">
        <v>0</v>
      </c>
      <c r="P211" t="n">
        <v>0</v>
      </c>
      <c r="Q211" t="n">
        <v>0</v>
      </c>
      <c r="R211" s="2" t="inlineStr"/>
    </row>
    <row r="212" ht="15" customHeight="1">
      <c r="A212" t="inlineStr">
        <is>
          <t>A 49448-2024</t>
        </is>
      </c>
      <c r="B212" s="1" t="n">
        <v>45595.96385416666</v>
      </c>
      <c r="C212" s="1" t="n">
        <v>46084</v>
      </c>
      <c r="D212" t="inlineStr">
        <is>
          <t>JÖNKÖPINGS LÄN</t>
        </is>
      </c>
      <c r="E212" t="inlineStr">
        <is>
          <t>HABO</t>
        </is>
      </c>
      <c r="G212" t="n">
        <v>2</v>
      </c>
      <c r="H212" t="n">
        <v>0</v>
      </c>
      <c r="I212" t="n">
        <v>0</v>
      </c>
      <c r="J212" t="n">
        <v>0</v>
      </c>
      <c r="K212" t="n">
        <v>0</v>
      </c>
      <c r="L212" t="n">
        <v>0</v>
      </c>
      <c r="M212" t="n">
        <v>0</v>
      </c>
      <c r="N212" t="n">
        <v>0</v>
      </c>
      <c r="O212" t="n">
        <v>0</v>
      </c>
      <c r="P212" t="n">
        <v>0</v>
      </c>
      <c r="Q212" t="n">
        <v>0</v>
      </c>
      <c r="R212" s="2" t="inlineStr"/>
    </row>
    <row r="213" ht="15" customHeight="1">
      <c r="A213" t="inlineStr">
        <is>
          <t>A 58526-2025</t>
        </is>
      </c>
      <c r="B213" s="1" t="n">
        <v>45985.72394675926</v>
      </c>
      <c r="C213" s="1" t="n">
        <v>46084</v>
      </c>
      <c r="D213" t="inlineStr">
        <is>
          <t>JÖNKÖPINGS LÄN</t>
        </is>
      </c>
      <c r="E213" t="inlineStr">
        <is>
          <t>HABO</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13850-2024</t>
        </is>
      </c>
      <c r="B214" s="1" t="n">
        <v>45390</v>
      </c>
      <c r="C214" s="1" t="n">
        <v>46084</v>
      </c>
      <c r="D214" t="inlineStr">
        <is>
          <t>JÖNKÖPINGS LÄN</t>
        </is>
      </c>
      <c r="E214" t="inlineStr">
        <is>
          <t>HABO</t>
        </is>
      </c>
      <c r="G214" t="n">
        <v>4.6</v>
      </c>
      <c r="H214" t="n">
        <v>0</v>
      </c>
      <c r="I214" t="n">
        <v>0</v>
      </c>
      <c r="J214" t="n">
        <v>0</v>
      </c>
      <c r="K214" t="n">
        <v>0</v>
      </c>
      <c r="L214" t="n">
        <v>0</v>
      </c>
      <c r="M214" t="n">
        <v>0</v>
      </c>
      <c r="N214" t="n">
        <v>0</v>
      </c>
      <c r="O214" t="n">
        <v>0</v>
      </c>
      <c r="P214" t="n">
        <v>0</v>
      </c>
      <c r="Q214" t="n">
        <v>0</v>
      </c>
      <c r="R214" s="2" t="inlineStr"/>
    </row>
    <row r="215" ht="15" customHeight="1">
      <c r="A215" t="inlineStr">
        <is>
          <t>A 58527-2025</t>
        </is>
      </c>
      <c r="B215" s="1" t="n">
        <v>45985.72804398148</v>
      </c>
      <c r="C215" s="1" t="n">
        <v>46084</v>
      </c>
      <c r="D215" t="inlineStr">
        <is>
          <t>JÖNKÖPINGS LÄN</t>
        </is>
      </c>
      <c r="E215" t="inlineStr">
        <is>
          <t>HABO</t>
        </is>
      </c>
      <c r="F215" t="inlineStr">
        <is>
          <t>Sveaskog</t>
        </is>
      </c>
      <c r="G215" t="n">
        <v>1.5</v>
      </c>
      <c r="H215" t="n">
        <v>0</v>
      </c>
      <c r="I215" t="n">
        <v>0</v>
      </c>
      <c r="J215" t="n">
        <v>0</v>
      </c>
      <c r="K215" t="n">
        <v>0</v>
      </c>
      <c r="L215" t="n">
        <v>0</v>
      </c>
      <c r="M215" t="n">
        <v>0</v>
      </c>
      <c r="N215" t="n">
        <v>0</v>
      </c>
      <c r="O215" t="n">
        <v>0</v>
      </c>
      <c r="P215" t="n">
        <v>0</v>
      </c>
      <c r="Q215" t="n">
        <v>0</v>
      </c>
      <c r="R215" s="2" t="inlineStr"/>
    </row>
    <row r="216" ht="15" customHeight="1">
      <c r="A216" t="inlineStr">
        <is>
          <t>A 58528-2025</t>
        </is>
      </c>
      <c r="B216" s="1" t="n">
        <v>45985.73052083333</v>
      </c>
      <c r="C216" s="1" t="n">
        <v>46084</v>
      </c>
      <c r="D216" t="inlineStr">
        <is>
          <t>JÖNKÖPINGS LÄN</t>
        </is>
      </c>
      <c r="E216" t="inlineStr">
        <is>
          <t>HABO</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35369-2023</t>
        </is>
      </c>
      <c r="B217" s="1" t="n">
        <v>45146.55858796297</v>
      </c>
      <c r="C217" s="1" t="n">
        <v>46084</v>
      </c>
      <c r="D217" t="inlineStr">
        <is>
          <t>JÖNKÖPINGS LÄN</t>
        </is>
      </c>
      <c r="E217" t="inlineStr">
        <is>
          <t>HABO</t>
        </is>
      </c>
      <c r="G217" t="n">
        <v>3.3</v>
      </c>
      <c r="H217" t="n">
        <v>0</v>
      </c>
      <c r="I217" t="n">
        <v>0</v>
      </c>
      <c r="J217" t="n">
        <v>0</v>
      </c>
      <c r="K217" t="n">
        <v>0</v>
      </c>
      <c r="L217" t="n">
        <v>0</v>
      </c>
      <c r="M217" t="n">
        <v>0</v>
      </c>
      <c r="N217" t="n">
        <v>0</v>
      </c>
      <c r="O217" t="n">
        <v>0</v>
      </c>
      <c r="P217" t="n">
        <v>0</v>
      </c>
      <c r="Q217" t="n">
        <v>0</v>
      </c>
      <c r="R217" s="2" t="inlineStr"/>
    </row>
    <row r="218" ht="15" customHeight="1">
      <c r="A218" t="inlineStr">
        <is>
          <t>A 58158-2025</t>
        </is>
      </c>
      <c r="B218" s="1" t="n">
        <v>45982</v>
      </c>
      <c r="C218" s="1" t="n">
        <v>46084</v>
      </c>
      <c r="D218" t="inlineStr">
        <is>
          <t>JÖNKÖPINGS LÄN</t>
        </is>
      </c>
      <c r="E218" t="inlineStr">
        <is>
          <t>HABO</t>
        </is>
      </c>
      <c r="G218" t="n">
        <v>3.7</v>
      </c>
      <c r="H218" t="n">
        <v>0</v>
      </c>
      <c r="I218" t="n">
        <v>0</v>
      </c>
      <c r="J218" t="n">
        <v>0</v>
      </c>
      <c r="K218" t="n">
        <v>0</v>
      </c>
      <c r="L218" t="n">
        <v>0</v>
      </c>
      <c r="M218" t="n">
        <v>0</v>
      </c>
      <c r="N218" t="n">
        <v>0</v>
      </c>
      <c r="O218" t="n">
        <v>0</v>
      </c>
      <c r="P218" t="n">
        <v>0</v>
      </c>
      <c r="Q218" t="n">
        <v>0</v>
      </c>
      <c r="R218" s="2" t="inlineStr"/>
    </row>
    <row r="219" ht="15" customHeight="1">
      <c r="A219" t="inlineStr">
        <is>
          <t>A 57999-2024</t>
        </is>
      </c>
      <c r="B219" s="1" t="n">
        <v>45631.63677083333</v>
      </c>
      <c r="C219" s="1" t="n">
        <v>46084</v>
      </c>
      <c r="D219" t="inlineStr">
        <is>
          <t>JÖNKÖPINGS LÄN</t>
        </is>
      </c>
      <c r="E219" t="inlineStr">
        <is>
          <t>HABO</t>
        </is>
      </c>
      <c r="G219" t="n">
        <v>1.1</v>
      </c>
      <c r="H219" t="n">
        <v>0</v>
      </c>
      <c r="I219" t="n">
        <v>0</v>
      </c>
      <c r="J219" t="n">
        <v>0</v>
      </c>
      <c r="K219" t="n">
        <v>0</v>
      </c>
      <c r="L219" t="n">
        <v>0</v>
      </c>
      <c r="M219" t="n">
        <v>0</v>
      </c>
      <c r="N219" t="n">
        <v>0</v>
      </c>
      <c r="O219" t="n">
        <v>0</v>
      </c>
      <c r="P219" t="n">
        <v>0</v>
      </c>
      <c r="Q219" t="n">
        <v>0</v>
      </c>
      <c r="R219" s="2" t="inlineStr"/>
    </row>
    <row r="220" ht="15" customHeight="1">
      <c r="A220" t="inlineStr">
        <is>
          <t>A 59928-2022</t>
        </is>
      </c>
      <c r="B220" s="1" t="n">
        <v>44909.34195601852</v>
      </c>
      <c r="C220" s="1" t="n">
        <v>46084</v>
      </c>
      <c r="D220" t="inlineStr">
        <is>
          <t>JÖNKÖPINGS LÄN</t>
        </is>
      </c>
      <c r="E220" t="inlineStr">
        <is>
          <t>HABO</t>
        </is>
      </c>
      <c r="G220" t="n">
        <v>0.5</v>
      </c>
      <c r="H220" t="n">
        <v>0</v>
      </c>
      <c r="I220" t="n">
        <v>0</v>
      </c>
      <c r="J220" t="n">
        <v>0</v>
      </c>
      <c r="K220" t="n">
        <v>0</v>
      </c>
      <c r="L220" t="n">
        <v>0</v>
      </c>
      <c r="M220" t="n">
        <v>0</v>
      </c>
      <c r="N220" t="n">
        <v>0</v>
      </c>
      <c r="O220" t="n">
        <v>0</v>
      </c>
      <c r="P220" t="n">
        <v>0</v>
      </c>
      <c r="Q220" t="n">
        <v>0</v>
      </c>
      <c r="R220" s="2" t="inlineStr"/>
    </row>
    <row r="221" ht="15" customHeight="1">
      <c r="A221" t="inlineStr">
        <is>
          <t>A 11426-2024</t>
        </is>
      </c>
      <c r="B221" s="1" t="n">
        <v>45372.50304398148</v>
      </c>
      <c r="C221" s="1" t="n">
        <v>46084</v>
      </c>
      <c r="D221" t="inlineStr">
        <is>
          <t>JÖNKÖPINGS LÄN</t>
        </is>
      </c>
      <c r="E221" t="inlineStr">
        <is>
          <t>HABO</t>
        </is>
      </c>
      <c r="G221" t="n">
        <v>2.3</v>
      </c>
      <c r="H221" t="n">
        <v>0</v>
      </c>
      <c r="I221" t="n">
        <v>0</v>
      </c>
      <c r="J221" t="n">
        <v>0</v>
      </c>
      <c r="K221" t="n">
        <v>0</v>
      </c>
      <c r="L221" t="n">
        <v>0</v>
      </c>
      <c r="M221" t="n">
        <v>0</v>
      </c>
      <c r="N221" t="n">
        <v>0</v>
      </c>
      <c r="O221" t="n">
        <v>0</v>
      </c>
      <c r="P221" t="n">
        <v>0</v>
      </c>
      <c r="Q221" t="n">
        <v>0</v>
      </c>
      <c r="R221" s="2" t="inlineStr"/>
    </row>
    <row r="222" ht="15" customHeight="1">
      <c r="A222" t="inlineStr">
        <is>
          <t>A 929-2026</t>
        </is>
      </c>
      <c r="B222" s="1" t="n">
        <v>46030.51197916667</v>
      </c>
      <c r="C222" s="1" t="n">
        <v>46084</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50804-2024</t>
        </is>
      </c>
      <c r="B223" s="1" t="n">
        <v>45602.50542824074</v>
      </c>
      <c r="C223" s="1" t="n">
        <v>46084</v>
      </c>
      <c r="D223" t="inlineStr">
        <is>
          <t>JÖNKÖPINGS LÄN</t>
        </is>
      </c>
      <c r="E223" t="inlineStr">
        <is>
          <t>HABO</t>
        </is>
      </c>
      <c r="G223" t="n">
        <v>0.4</v>
      </c>
      <c r="H223" t="n">
        <v>0</v>
      </c>
      <c r="I223" t="n">
        <v>0</v>
      </c>
      <c r="J223" t="n">
        <v>0</v>
      </c>
      <c r="K223" t="n">
        <v>0</v>
      </c>
      <c r="L223" t="n">
        <v>0</v>
      </c>
      <c r="M223" t="n">
        <v>0</v>
      </c>
      <c r="N223" t="n">
        <v>0</v>
      </c>
      <c r="O223" t="n">
        <v>0</v>
      </c>
      <c r="P223" t="n">
        <v>0</v>
      </c>
      <c r="Q223" t="n">
        <v>0</v>
      </c>
      <c r="R223" s="2" t="inlineStr"/>
    </row>
    <row r="224" ht="15" customHeight="1">
      <c r="A224" t="inlineStr">
        <is>
          <t>A 61665-2024</t>
        </is>
      </c>
      <c r="B224" s="1" t="n">
        <v>45647.29790509259</v>
      </c>
      <c r="C224" s="1" t="n">
        <v>46084</v>
      </c>
      <c r="D224" t="inlineStr">
        <is>
          <t>JÖNKÖPINGS LÄN</t>
        </is>
      </c>
      <c r="E224" t="inlineStr">
        <is>
          <t>HABO</t>
        </is>
      </c>
      <c r="G224" t="n">
        <v>0.7</v>
      </c>
      <c r="H224" t="n">
        <v>0</v>
      </c>
      <c r="I224" t="n">
        <v>0</v>
      </c>
      <c r="J224" t="n">
        <v>0</v>
      </c>
      <c r="K224" t="n">
        <v>0</v>
      </c>
      <c r="L224" t="n">
        <v>0</v>
      </c>
      <c r="M224" t="n">
        <v>0</v>
      </c>
      <c r="N224" t="n">
        <v>0</v>
      </c>
      <c r="O224" t="n">
        <v>0</v>
      </c>
      <c r="P224" t="n">
        <v>0</v>
      </c>
      <c r="Q224" t="n">
        <v>0</v>
      </c>
      <c r="R224" s="2" t="inlineStr"/>
    </row>
    <row r="225" ht="15" customHeight="1">
      <c r="A225" t="inlineStr">
        <is>
          <t>A 58430-2021</t>
        </is>
      </c>
      <c r="B225" s="1" t="n">
        <v>44488</v>
      </c>
      <c r="C225" s="1" t="n">
        <v>46084</v>
      </c>
      <c r="D225" t="inlineStr">
        <is>
          <t>JÖNKÖPINGS LÄN</t>
        </is>
      </c>
      <c r="E225" t="inlineStr">
        <is>
          <t>HABO</t>
        </is>
      </c>
      <c r="G225" t="n">
        <v>1.4</v>
      </c>
      <c r="H225" t="n">
        <v>0</v>
      </c>
      <c r="I225" t="n">
        <v>0</v>
      </c>
      <c r="J225" t="n">
        <v>0</v>
      </c>
      <c r="K225" t="n">
        <v>0</v>
      </c>
      <c r="L225" t="n">
        <v>0</v>
      </c>
      <c r="M225" t="n">
        <v>0</v>
      </c>
      <c r="N225" t="n">
        <v>0</v>
      </c>
      <c r="O225" t="n">
        <v>0</v>
      </c>
      <c r="P225" t="n">
        <v>0</v>
      </c>
      <c r="Q225" t="n">
        <v>0</v>
      </c>
      <c r="R225" s="2" t="inlineStr"/>
    </row>
    <row r="226" ht="15" customHeight="1">
      <c r="A226" t="inlineStr">
        <is>
          <t>A 59057-2024</t>
        </is>
      </c>
      <c r="B226" s="1" t="n">
        <v>45636</v>
      </c>
      <c r="C226" s="1" t="n">
        <v>46084</v>
      </c>
      <c r="D226" t="inlineStr">
        <is>
          <t>JÖNKÖPINGS LÄN</t>
        </is>
      </c>
      <c r="E226" t="inlineStr">
        <is>
          <t>HABO</t>
        </is>
      </c>
      <c r="G226" t="n">
        <v>1.7</v>
      </c>
      <c r="H226" t="n">
        <v>0</v>
      </c>
      <c r="I226" t="n">
        <v>0</v>
      </c>
      <c r="J226" t="n">
        <v>0</v>
      </c>
      <c r="K226" t="n">
        <v>0</v>
      </c>
      <c r="L226" t="n">
        <v>0</v>
      </c>
      <c r="M226" t="n">
        <v>0</v>
      </c>
      <c r="N226" t="n">
        <v>0</v>
      </c>
      <c r="O226" t="n">
        <v>0</v>
      </c>
      <c r="P226" t="n">
        <v>0</v>
      </c>
      <c r="Q226" t="n">
        <v>0</v>
      </c>
      <c r="R226" s="2" t="inlineStr"/>
    </row>
    <row r="227" ht="15" customHeight="1">
      <c r="A227" t="inlineStr">
        <is>
          <t>A 60583-2025</t>
        </is>
      </c>
      <c r="B227" s="1" t="n">
        <v>45996</v>
      </c>
      <c r="C227" s="1" t="n">
        <v>46084</v>
      </c>
      <c r="D227" t="inlineStr">
        <is>
          <t>JÖNKÖPINGS LÄN</t>
        </is>
      </c>
      <c r="E227" t="inlineStr">
        <is>
          <t>HABO</t>
        </is>
      </c>
      <c r="G227" t="n">
        <v>4.7</v>
      </c>
      <c r="H227" t="n">
        <v>0</v>
      </c>
      <c r="I227" t="n">
        <v>0</v>
      </c>
      <c r="J227" t="n">
        <v>0</v>
      </c>
      <c r="K227" t="n">
        <v>0</v>
      </c>
      <c r="L227" t="n">
        <v>0</v>
      </c>
      <c r="M227" t="n">
        <v>0</v>
      </c>
      <c r="N227" t="n">
        <v>0</v>
      </c>
      <c r="O227" t="n">
        <v>0</v>
      </c>
      <c r="P227" t="n">
        <v>0</v>
      </c>
      <c r="Q227" t="n">
        <v>0</v>
      </c>
      <c r="R227" s="2" t="inlineStr"/>
    </row>
    <row r="228" ht="15" customHeight="1">
      <c r="A228" t="inlineStr">
        <is>
          <t>A 3794-2026</t>
        </is>
      </c>
      <c r="B228" s="1" t="n">
        <v>46043.57814814815</v>
      </c>
      <c r="C228" s="1" t="n">
        <v>46084</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2690-2026</t>
        </is>
      </c>
      <c r="B229" s="1" t="n">
        <v>46037.66392361111</v>
      </c>
      <c r="C229" s="1" t="n">
        <v>46084</v>
      </c>
      <c r="D229" t="inlineStr">
        <is>
          <t>JÖNKÖPINGS LÄN</t>
        </is>
      </c>
      <c r="E229" t="inlineStr">
        <is>
          <t>HABO</t>
        </is>
      </c>
      <c r="G229" t="n">
        <v>0.3</v>
      </c>
      <c r="H229" t="n">
        <v>0</v>
      </c>
      <c r="I229" t="n">
        <v>0</v>
      </c>
      <c r="J229" t="n">
        <v>0</v>
      </c>
      <c r="K229" t="n">
        <v>0</v>
      </c>
      <c r="L229" t="n">
        <v>0</v>
      </c>
      <c r="M229" t="n">
        <v>0</v>
      </c>
      <c r="N229" t="n">
        <v>0</v>
      </c>
      <c r="O229" t="n">
        <v>0</v>
      </c>
      <c r="P229" t="n">
        <v>0</v>
      </c>
      <c r="Q229" t="n">
        <v>0</v>
      </c>
      <c r="R229" s="2" t="inlineStr"/>
    </row>
    <row r="230" ht="15" customHeight="1">
      <c r="A230" t="inlineStr">
        <is>
          <t>A 2693-2026</t>
        </is>
      </c>
      <c r="B230" s="1" t="n">
        <v>46037.66849537037</v>
      </c>
      <c r="C230" s="1" t="n">
        <v>46084</v>
      </c>
      <c r="D230" t="inlineStr">
        <is>
          <t>JÖNKÖPINGS LÄN</t>
        </is>
      </c>
      <c r="E230" t="inlineStr">
        <is>
          <t>HABO</t>
        </is>
      </c>
      <c r="G230" t="n">
        <v>0.5</v>
      </c>
      <c r="H230" t="n">
        <v>0</v>
      </c>
      <c r="I230" t="n">
        <v>0</v>
      </c>
      <c r="J230" t="n">
        <v>0</v>
      </c>
      <c r="K230" t="n">
        <v>0</v>
      </c>
      <c r="L230" t="n">
        <v>0</v>
      </c>
      <c r="M230" t="n">
        <v>0</v>
      </c>
      <c r="N230" t="n">
        <v>0</v>
      </c>
      <c r="O230" t="n">
        <v>0</v>
      </c>
      <c r="P230" t="n">
        <v>0</v>
      </c>
      <c r="Q230" t="n">
        <v>0</v>
      </c>
      <c r="R230" s="2" t="inlineStr"/>
    </row>
    <row r="231" ht="15" customHeight="1">
      <c r="A231" t="inlineStr">
        <is>
          <t>A 3778-2026</t>
        </is>
      </c>
      <c r="B231" s="1" t="n">
        <v>46043.56719907407</v>
      </c>
      <c r="C231" s="1" t="n">
        <v>46084</v>
      </c>
      <c r="D231" t="inlineStr">
        <is>
          <t>JÖNKÖPINGS LÄN</t>
        </is>
      </c>
      <c r="E231" t="inlineStr">
        <is>
          <t>HABO</t>
        </is>
      </c>
      <c r="G231" t="n">
        <v>0.6</v>
      </c>
      <c r="H231" t="n">
        <v>0</v>
      </c>
      <c r="I231" t="n">
        <v>0</v>
      </c>
      <c r="J231" t="n">
        <v>0</v>
      </c>
      <c r="K231" t="n">
        <v>0</v>
      </c>
      <c r="L231" t="n">
        <v>0</v>
      </c>
      <c r="M231" t="n">
        <v>0</v>
      </c>
      <c r="N231" t="n">
        <v>0</v>
      </c>
      <c r="O231" t="n">
        <v>0</v>
      </c>
      <c r="P231" t="n">
        <v>0</v>
      </c>
      <c r="Q231" t="n">
        <v>0</v>
      </c>
      <c r="R231" s="2" t="inlineStr"/>
    </row>
    <row r="232" ht="15" customHeight="1">
      <c r="A232" t="inlineStr">
        <is>
          <t>A 61275-2025</t>
        </is>
      </c>
      <c r="B232" s="1" t="n">
        <v>46000.686875</v>
      </c>
      <c r="C232" s="1" t="n">
        <v>46084</v>
      </c>
      <c r="D232" t="inlineStr">
        <is>
          <t>JÖNKÖPINGS LÄN</t>
        </is>
      </c>
      <c r="E232" t="inlineStr">
        <is>
          <t>HABO</t>
        </is>
      </c>
      <c r="G232" t="n">
        <v>0.3</v>
      </c>
      <c r="H232" t="n">
        <v>0</v>
      </c>
      <c r="I232" t="n">
        <v>0</v>
      </c>
      <c r="J232" t="n">
        <v>0</v>
      </c>
      <c r="K232" t="n">
        <v>0</v>
      </c>
      <c r="L232" t="n">
        <v>0</v>
      </c>
      <c r="M232" t="n">
        <v>0</v>
      </c>
      <c r="N232" t="n">
        <v>0</v>
      </c>
      <c r="O232" t="n">
        <v>0</v>
      </c>
      <c r="P232" t="n">
        <v>0</v>
      </c>
      <c r="Q232" t="n">
        <v>0</v>
      </c>
      <c r="R232" s="2" t="inlineStr"/>
    </row>
    <row r="233" ht="15" customHeight="1">
      <c r="A233" t="inlineStr">
        <is>
          <t>A 55373-2024</t>
        </is>
      </c>
      <c r="B233" s="1" t="n">
        <v>45621.9333449074</v>
      </c>
      <c r="C233" s="1" t="n">
        <v>46084</v>
      </c>
      <c r="D233" t="inlineStr">
        <is>
          <t>JÖNKÖPINGS LÄN</t>
        </is>
      </c>
      <c r="E233" t="inlineStr">
        <is>
          <t>HABO</t>
        </is>
      </c>
      <c r="G233" t="n">
        <v>1.7</v>
      </c>
      <c r="H233" t="n">
        <v>0</v>
      </c>
      <c r="I233" t="n">
        <v>0</v>
      </c>
      <c r="J233" t="n">
        <v>0</v>
      </c>
      <c r="K233" t="n">
        <v>0</v>
      </c>
      <c r="L233" t="n">
        <v>0</v>
      </c>
      <c r="M233" t="n">
        <v>0</v>
      </c>
      <c r="N233" t="n">
        <v>0</v>
      </c>
      <c r="O233" t="n">
        <v>0</v>
      </c>
      <c r="P233" t="n">
        <v>0</v>
      </c>
      <c r="Q233" t="n">
        <v>0</v>
      </c>
      <c r="R233" s="2" t="inlineStr"/>
    </row>
    <row r="234" ht="15" customHeight="1">
      <c r="A234" t="inlineStr">
        <is>
          <t>A 40575-2021</t>
        </is>
      </c>
      <c r="B234" s="1" t="n">
        <v>44420</v>
      </c>
      <c r="C234" s="1" t="n">
        <v>46084</v>
      </c>
      <c r="D234" t="inlineStr">
        <is>
          <t>JÖNKÖPINGS LÄN</t>
        </is>
      </c>
      <c r="E234" t="inlineStr">
        <is>
          <t>HABO</t>
        </is>
      </c>
      <c r="G234" t="n">
        <v>3.2</v>
      </c>
      <c r="H234" t="n">
        <v>0</v>
      </c>
      <c r="I234" t="n">
        <v>0</v>
      </c>
      <c r="J234" t="n">
        <v>0</v>
      </c>
      <c r="K234" t="n">
        <v>0</v>
      </c>
      <c r="L234" t="n">
        <v>0</v>
      </c>
      <c r="M234" t="n">
        <v>0</v>
      </c>
      <c r="N234" t="n">
        <v>0</v>
      </c>
      <c r="O234" t="n">
        <v>0</v>
      </c>
      <c r="P234" t="n">
        <v>0</v>
      </c>
      <c r="Q234" t="n">
        <v>0</v>
      </c>
      <c r="R234" s="2" t="inlineStr"/>
    </row>
    <row r="235" ht="15" customHeight="1">
      <c r="A235" t="inlineStr">
        <is>
          <t>A 61269-2025</t>
        </is>
      </c>
      <c r="B235" s="1" t="n">
        <v>46000.68230324074</v>
      </c>
      <c r="C235" s="1" t="n">
        <v>46084</v>
      </c>
      <c r="D235" t="inlineStr">
        <is>
          <t>JÖNKÖPINGS LÄN</t>
        </is>
      </c>
      <c r="E235" t="inlineStr">
        <is>
          <t>HABO</t>
        </is>
      </c>
      <c r="G235" t="n">
        <v>0.9</v>
      </c>
      <c r="H235" t="n">
        <v>0</v>
      </c>
      <c r="I235" t="n">
        <v>0</v>
      </c>
      <c r="J235" t="n">
        <v>0</v>
      </c>
      <c r="K235" t="n">
        <v>0</v>
      </c>
      <c r="L235" t="n">
        <v>0</v>
      </c>
      <c r="M235" t="n">
        <v>0</v>
      </c>
      <c r="N235" t="n">
        <v>0</v>
      </c>
      <c r="O235" t="n">
        <v>0</v>
      </c>
      <c r="P235" t="n">
        <v>0</v>
      </c>
      <c r="Q235" t="n">
        <v>0</v>
      </c>
      <c r="R235" s="2" t="inlineStr"/>
    </row>
    <row r="236" ht="15" customHeight="1">
      <c r="A236" t="inlineStr">
        <is>
          <t>A 61271-2025</t>
        </is>
      </c>
      <c r="B236" s="1" t="n">
        <v>46000.6846412037</v>
      </c>
      <c r="C236" s="1" t="n">
        <v>46084</v>
      </c>
      <c r="D236" t="inlineStr">
        <is>
          <t>JÖNKÖPINGS LÄN</t>
        </is>
      </c>
      <c r="E236" t="inlineStr">
        <is>
          <t>HABO</t>
        </is>
      </c>
      <c r="G236" t="n">
        <v>0.8</v>
      </c>
      <c r="H236" t="n">
        <v>0</v>
      </c>
      <c r="I236" t="n">
        <v>0</v>
      </c>
      <c r="J236" t="n">
        <v>0</v>
      </c>
      <c r="K236" t="n">
        <v>0</v>
      </c>
      <c r="L236" t="n">
        <v>0</v>
      </c>
      <c r="M236" t="n">
        <v>0</v>
      </c>
      <c r="N236" t="n">
        <v>0</v>
      </c>
      <c r="O236" t="n">
        <v>0</v>
      </c>
      <c r="P236" t="n">
        <v>0</v>
      </c>
      <c r="Q236" t="n">
        <v>0</v>
      </c>
      <c r="R236" s="2" t="inlineStr"/>
    </row>
    <row r="237" ht="15" customHeight="1">
      <c r="A237" t="inlineStr">
        <is>
          <t>A 49433-2024</t>
        </is>
      </c>
      <c r="B237" s="1" t="n">
        <v>45595.82958333333</v>
      </c>
      <c r="C237" s="1" t="n">
        <v>46084</v>
      </c>
      <c r="D237" t="inlineStr">
        <is>
          <t>JÖNKÖPINGS LÄN</t>
        </is>
      </c>
      <c r="E237" t="inlineStr">
        <is>
          <t>HABO</t>
        </is>
      </c>
      <c r="G237" t="n">
        <v>5</v>
      </c>
      <c r="H237" t="n">
        <v>0</v>
      </c>
      <c r="I237" t="n">
        <v>0</v>
      </c>
      <c r="J237" t="n">
        <v>0</v>
      </c>
      <c r="K237" t="n">
        <v>0</v>
      </c>
      <c r="L237" t="n">
        <v>0</v>
      </c>
      <c r="M237" t="n">
        <v>0</v>
      </c>
      <c r="N237" t="n">
        <v>0</v>
      </c>
      <c r="O237" t="n">
        <v>0</v>
      </c>
      <c r="P237" t="n">
        <v>0</v>
      </c>
      <c r="Q237" t="n">
        <v>0</v>
      </c>
      <c r="R237" s="2" t="inlineStr"/>
    </row>
    <row r="238" ht="15" customHeight="1">
      <c r="A238" t="inlineStr">
        <is>
          <t>A 61273-2025</t>
        </is>
      </c>
      <c r="B238" s="1" t="n">
        <v>46000.68589120371</v>
      </c>
      <c r="C238" s="1" t="n">
        <v>46084</v>
      </c>
      <c r="D238" t="inlineStr">
        <is>
          <t>JÖNKÖPINGS LÄN</t>
        </is>
      </c>
      <c r="E238" t="inlineStr">
        <is>
          <t>HABO</t>
        </is>
      </c>
      <c r="G238" t="n">
        <v>2.2</v>
      </c>
      <c r="H238" t="n">
        <v>0</v>
      </c>
      <c r="I238" t="n">
        <v>0</v>
      </c>
      <c r="J238" t="n">
        <v>0</v>
      </c>
      <c r="K238" t="n">
        <v>0</v>
      </c>
      <c r="L238" t="n">
        <v>0</v>
      </c>
      <c r="M238" t="n">
        <v>0</v>
      </c>
      <c r="N238" t="n">
        <v>0</v>
      </c>
      <c r="O238" t="n">
        <v>0</v>
      </c>
      <c r="P238" t="n">
        <v>0</v>
      </c>
      <c r="Q238" t="n">
        <v>0</v>
      </c>
      <c r="R238" s="2" t="inlineStr"/>
    </row>
    <row r="239" ht="15" customHeight="1">
      <c r="A239" t="inlineStr">
        <is>
          <t>A 3783-2026</t>
        </is>
      </c>
      <c r="B239" s="1" t="n">
        <v>46043.57157407407</v>
      </c>
      <c r="C239" s="1" t="n">
        <v>46084</v>
      </c>
      <c r="D239" t="inlineStr">
        <is>
          <t>JÖNKÖPINGS LÄN</t>
        </is>
      </c>
      <c r="E239" t="inlineStr">
        <is>
          <t>HABO</t>
        </is>
      </c>
      <c r="G239" t="n">
        <v>4.1</v>
      </c>
      <c r="H239" t="n">
        <v>0</v>
      </c>
      <c r="I239" t="n">
        <v>0</v>
      </c>
      <c r="J239" t="n">
        <v>0</v>
      </c>
      <c r="K239" t="n">
        <v>0</v>
      </c>
      <c r="L239" t="n">
        <v>0</v>
      </c>
      <c r="M239" t="n">
        <v>0</v>
      </c>
      <c r="N239" t="n">
        <v>0</v>
      </c>
      <c r="O239" t="n">
        <v>0</v>
      </c>
      <c r="P239" t="n">
        <v>0</v>
      </c>
      <c r="Q239" t="n">
        <v>0</v>
      </c>
      <c r="R239" s="2" t="inlineStr"/>
    </row>
    <row r="240" ht="15" customHeight="1">
      <c r="A240" t="inlineStr">
        <is>
          <t>A 3787-2026</t>
        </is>
      </c>
      <c r="B240" s="1" t="n">
        <v>46043.57262731482</v>
      </c>
      <c r="C240" s="1" t="n">
        <v>46084</v>
      </c>
      <c r="D240" t="inlineStr">
        <is>
          <t>JÖNKÖPINGS LÄN</t>
        </is>
      </c>
      <c r="E240" t="inlineStr">
        <is>
          <t>HABO</t>
        </is>
      </c>
      <c r="G240" t="n">
        <v>2</v>
      </c>
      <c r="H240" t="n">
        <v>0</v>
      </c>
      <c r="I240" t="n">
        <v>0</v>
      </c>
      <c r="J240" t="n">
        <v>0</v>
      </c>
      <c r="K240" t="n">
        <v>0</v>
      </c>
      <c r="L240" t="n">
        <v>0</v>
      </c>
      <c r="M240" t="n">
        <v>0</v>
      </c>
      <c r="N240" t="n">
        <v>0</v>
      </c>
      <c r="O240" t="n">
        <v>0</v>
      </c>
      <c r="P240" t="n">
        <v>0</v>
      </c>
      <c r="Q240" t="n">
        <v>0</v>
      </c>
      <c r="R240" s="2" t="inlineStr"/>
    </row>
    <row r="241" ht="15" customHeight="1">
      <c r="A241" t="inlineStr">
        <is>
          <t>A 2681-2026</t>
        </is>
      </c>
      <c r="B241" s="1" t="n">
        <v>46037.65422453704</v>
      </c>
      <c r="C241" s="1" t="n">
        <v>46084</v>
      </c>
      <c r="D241" t="inlineStr">
        <is>
          <t>JÖNKÖPINGS LÄN</t>
        </is>
      </c>
      <c r="E241" t="inlineStr">
        <is>
          <t>HABO</t>
        </is>
      </c>
      <c r="G241" t="n">
        <v>0.6</v>
      </c>
      <c r="H241" t="n">
        <v>0</v>
      </c>
      <c r="I241" t="n">
        <v>0</v>
      </c>
      <c r="J241" t="n">
        <v>0</v>
      </c>
      <c r="K241" t="n">
        <v>0</v>
      </c>
      <c r="L241" t="n">
        <v>0</v>
      </c>
      <c r="M241" t="n">
        <v>0</v>
      </c>
      <c r="N241" t="n">
        <v>0</v>
      </c>
      <c r="O241" t="n">
        <v>0</v>
      </c>
      <c r="P241" t="n">
        <v>0</v>
      </c>
      <c r="Q241" t="n">
        <v>0</v>
      </c>
      <c r="R241" s="2" t="inlineStr"/>
    </row>
    <row r="242" ht="15" customHeight="1">
      <c r="A242" t="inlineStr">
        <is>
          <t>A 3775-2026</t>
        </is>
      </c>
      <c r="B242" s="1" t="n">
        <v>46043.56471064815</v>
      </c>
      <c r="C242" s="1" t="n">
        <v>46084</v>
      </c>
      <c r="D242" t="inlineStr">
        <is>
          <t>JÖNKÖPINGS LÄN</t>
        </is>
      </c>
      <c r="E242" t="inlineStr">
        <is>
          <t>HABO</t>
        </is>
      </c>
      <c r="G242" t="n">
        <v>2.2</v>
      </c>
      <c r="H242" t="n">
        <v>0</v>
      </c>
      <c r="I242" t="n">
        <v>0</v>
      </c>
      <c r="J242" t="n">
        <v>0</v>
      </c>
      <c r="K242" t="n">
        <v>0</v>
      </c>
      <c r="L242" t="n">
        <v>0</v>
      </c>
      <c r="M242" t="n">
        <v>0</v>
      </c>
      <c r="N242" t="n">
        <v>0</v>
      </c>
      <c r="O242" t="n">
        <v>0</v>
      </c>
      <c r="P242" t="n">
        <v>0</v>
      </c>
      <c r="Q242" t="n">
        <v>0</v>
      </c>
      <c r="R242" s="2" t="inlineStr"/>
    </row>
    <row r="243" ht="15" customHeight="1">
      <c r="A243" t="inlineStr">
        <is>
          <t>A 3792-2026</t>
        </is>
      </c>
      <c r="B243" s="1" t="n">
        <v>46043.57667824074</v>
      </c>
      <c r="C243" s="1" t="n">
        <v>46084</v>
      </c>
      <c r="D243" t="inlineStr">
        <is>
          <t>JÖNKÖPINGS LÄN</t>
        </is>
      </c>
      <c r="E243" t="inlineStr">
        <is>
          <t>HABO</t>
        </is>
      </c>
      <c r="G243" t="n">
        <v>3.1</v>
      </c>
      <c r="H243" t="n">
        <v>0</v>
      </c>
      <c r="I243" t="n">
        <v>0</v>
      </c>
      <c r="J243" t="n">
        <v>0</v>
      </c>
      <c r="K243" t="n">
        <v>0</v>
      </c>
      <c r="L243" t="n">
        <v>0</v>
      </c>
      <c r="M243" t="n">
        <v>0</v>
      </c>
      <c r="N243" t="n">
        <v>0</v>
      </c>
      <c r="O243" t="n">
        <v>0</v>
      </c>
      <c r="P243" t="n">
        <v>0</v>
      </c>
      <c r="Q243" t="n">
        <v>0</v>
      </c>
      <c r="R243" s="2" t="inlineStr"/>
    </row>
    <row r="244" ht="15" customHeight="1">
      <c r="A244" t="inlineStr">
        <is>
          <t>A 32545-2022</t>
        </is>
      </c>
      <c r="B244" s="1" t="n">
        <v>44783.33467592593</v>
      </c>
      <c r="C244" s="1" t="n">
        <v>46084</v>
      </c>
      <c r="D244" t="inlineStr">
        <is>
          <t>JÖNKÖPINGS LÄN</t>
        </is>
      </c>
      <c r="E244" t="inlineStr">
        <is>
          <t>HABO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60679-2024</t>
        </is>
      </c>
      <c r="B245" s="1" t="n">
        <v>45644.46246527778</v>
      </c>
      <c r="C245" s="1" t="n">
        <v>46084</v>
      </c>
      <c r="D245" t="inlineStr">
        <is>
          <t>JÖNKÖPINGS LÄN</t>
        </is>
      </c>
      <c r="E245" t="inlineStr">
        <is>
          <t>HABO</t>
        </is>
      </c>
      <c r="G245" t="n">
        <v>1</v>
      </c>
      <c r="H245" t="n">
        <v>0</v>
      </c>
      <c r="I245" t="n">
        <v>0</v>
      </c>
      <c r="J245" t="n">
        <v>0</v>
      </c>
      <c r="K245" t="n">
        <v>0</v>
      </c>
      <c r="L245" t="n">
        <v>0</v>
      </c>
      <c r="M245" t="n">
        <v>0</v>
      </c>
      <c r="N245" t="n">
        <v>0</v>
      </c>
      <c r="O245" t="n">
        <v>0</v>
      </c>
      <c r="P245" t="n">
        <v>0</v>
      </c>
      <c r="Q245" t="n">
        <v>0</v>
      </c>
      <c r="R245" s="2" t="inlineStr"/>
    </row>
    <row r="246" ht="15" customHeight="1">
      <c r="A246" t="inlineStr">
        <is>
          <t>A 32329-2023</t>
        </is>
      </c>
      <c r="B246" s="1" t="n">
        <v>45120</v>
      </c>
      <c r="C246" s="1" t="n">
        <v>46084</v>
      </c>
      <c r="D246" t="inlineStr">
        <is>
          <t>JÖNKÖPINGS LÄN</t>
        </is>
      </c>
      <c r="E246" t="inlineStr">
        <is>
          <t>HABO</t>
        </is>
      </c>
      <c r="G246" t="n">
        <v>4.8</v>
      </c>
      <c r="H246" t="n">
        <v>0</v>
      </c>
      <c r="I246" t="n">
        <v>0</v>
      </c>
      <c r="J246" t="n">
        <v>0</v>
      </c>
      <c r="K246" t="n">
        <v>0</v>
      </c>
      <c r="L246" t="n">
        <v>0</v>
      </c>
      <c r="M246" t="n">
        <v>0</v>
      </c>
      <c r="N246" t="n">
        <v>0</v>
      </c>
      <c r="O246" t="n">
        <v>0</v>
      </c>
      <c r="P246" t="n">
        <v>0</v>
      </c>
      <c r="Q246" t="n">
        <v>0</v>
      </c>
      <c r="R246" s="2" t="inlineStr"/>
    </row>
    <row r="247" ht="15" customHeight="1">
      <c r="A247" t="inlineStr">
        <is>
          <t>A 32235-2023</t>
        </is>
      </c>
      <c r="B247" s="1" t="n">
        <v>45119.95571759259</v>
      </c>
      <c r="C247" s="1" t="n">
        <v>46084</v>
      </c>
      <c r="D247" t="inlineStr">
        <is>
          <t>JÖNKÖPINGS LÄN</t>
        </is>
      </c>
      <c r="E247" t="inlineStr">
        <is>
          <t>HABO</t>
        </is>
      </c>
      <c r="G247" t="n">
        <v>7.1</v>
      </c>
      <c r="H247" t="n">
        <v>0</v>
      </c>
      <c r="I247" t="n">
        <v>0</v>
      </c>
      <c r="J247" t="n">
        <v>0</v>
      </c>
      <c r="K247" t="n">
        <v>0</v>
      </c>
      <c r="L247" t="n">
        <v>0</v>
      </c>
      <c r="M247" t="n">
        <v>0</v>
      </c>
      <c r="N247" t="n">
        <v>0</v>
      </c>
      <c r="O247" t="n">
        <v>0</v>
      </c>
      <c r="P247" t="n">
        <v>0</v>
      </c>
      <c r="Q247" t="n">
        <v>0</v>
      </c>
      <c r="R247" s="2" t="inlineStr"/>
    </row>
    <row r="248" ht="15" customHeight="1">
      <c r="A248" t="inlineStr">
        <is>
          <t>A 32236-2023</t>
        </is>
      </c>
      <c r="B248" s="1" t="n">
        <v>45119.95995370371</v>
      </c>
      <c r="C248" s="1" t="n">
        <v>46084</v>
      </c>
      <c r="D248" t="inlineStr">
        <is>
          <t>JÖNKÖPINGS LÄN</t>
        </is>
      </c>
      <c r="E248" t="inlineStr">
        <is>
          <t>HABO</t>
        </is>
      </c>
      <c r="G248" t="n">
        <v>1.3</v>
      </c>
      <c r="H248" t="n">
        <v>0</v>
      </c>
      <c r="I248" t="n">
        <v>0</v>
      </c>
      <c r="J248" t="n">
        <v>0</v>
      </c>
      <c r="K248" t="n">
        <v>0</v>
      </c>
      <c r="L248" t="n">
        <v>0</v>
      </c>
      <c r="M248" t="n">
        <v>0</v>
      </c>
      <c r="N248" t="n">
        <v>0</v>
      </c>
      <c r="O248" t="n">
        <v>0</v>
      </c>
      <c r="P248" t="n">
        <v>0</v>
      </c>
      <c r="Q248" t="n">
        <v>0</v>
      </c>
      <c r="R248" s="2" t="inlineStr"/>
    </row>
    <row r="249" ht="15" customHeight="1">
      <c r="A249" t="inlineStr">
        <is>
          <t>A 58452-2021</t>
        </is>
      </c>
      <c r="B249" s="1" t="n">
        <v>44488</v>
      </c>
      <c r="C249" s="1" t="n">
        <v>46084</v>
      </c>
      <c r="D249" t="inlineStr">
        <is>
          <t>JÖNKÖPINGS LÄN</t>
        </is>
      </c>
      <c r="E249" t="inlineStr">
        <is>
          <t>HABO</t>
        </is>
      </c>
      <c r="G249" t="n">
        <v>2.1</v>
      </c>
      <c r="H249" t="n">
        <v>0</v>
      </c>
      <c r="I249" t="n">
        <v>0</v>
      </c>
      <c r="J249" t="n">
        <v>0</v>
      </c>
      <c r="K249" t="n">
        <v>0</v>
      </c>
      <c r="L249" t="n">
        <v>0</v>
      </c>
      <c r="M249" t="n">
        <v>0</v>
      </c>
      <c r="N249" t="n">
        <v>0</v>
      </c>
      <c r="O249" t="n">
        <v>0</v>
      </c>
      <c r="P249" t="n">
        <v>0</v>
      </c>
      <c r="Q249" t="n">
        <v>0</v>
      </c>
      <c r="R249" s="2" t="inlineStr"/>
    </row>
    <row r="250" ht="15" customHeight="1">
      <c r="A250" t="inlineStr">
        <is>
          <t>A 58458-2021</t>
        </is>
      </c>
      <c r="B250" s="1" t="n">
        <v>44488</v>
      </c>
      <c r="C250" s="1" t="n">
        <v>46084</v>
      </c>
      <c r="D250" t="inlineStr">
        <is>
          <t>JÖNKÖPINGS LÄN</t>
        </is>
      </c>
      <c r="E250" t="inlineStr">
        <is>
          <t>HABO</t>
        </is>
      </c>
      <c r="G250" t="n">
        <v>1.5</v>
      </c>
      <c r="H250" t="n">
        <v>0</v>
      </c>
      <c r="I250" t="n">
        <v>0</v>
      </c>
      <c r="J250" t="n">
        <v>0</v>
      </c>
      <c r="K250" t="n">
        <v>0</v>
      </c>
      <c r="L250" t="n">
        <v>0</v>
      </c>
      <c r="M250" t="n">
        <v>0</v>
      </c>
      <c r="N250" t="n">
        <v>0</v>
      </c>
      <c r="O250" t="n">
        <v>0</v>
      </c>
      <c r="P250" t="n">
        <v>0</v>
      </c>
      <c r="Q250" t="n">
        <v>0</v>
      </c>
      <c r="R250" s="2" t="inlineStr"/>
    </row>
    <row r="251" ht="15" customHeight="1">
      <c r="A251" t="inlineStr">
        <is>
          <t>A 34738-2021</t>
        </is>
      </c>
      <c r="B251" s="1" t="n">
        <v>44382.66885416667</v>
      </c>
      <c r="C251" s="1" t="n">
        <v>46084</v>
      </c>
      <c r="D251" t="inlineStr">
        <is>
          <t>JÖNKÖPINGS LÄN</t>
        </is>
      </c>
      <c r="E251" t="inlineStr">
        <is>
          <t>HABO</t>
        </is>
      </c>
      <c r="G251" t="n">
        <v>1.2</v>
      </c>
      <c r="H251" t="n">
        <v>0</v>
      </c>
      <c r="I251" t="n">
        <v>0</v>
      </c>
      <c r="J251" t="n">
        <v>0</v>
      </c>
      <c r="K251" t="n">
        <v>0</v>
      </c>
      <c r="L251" t="n">
        <v>0</v>
      </c>
      <c r="M251" t="n">
        <v>0</v>
      </c>
      <c r="N251" t="n">
        <v>0</v>
      </c>
      <c r="O251" t="n">
        <v>0</v>
      </c>
      <c r="P251" t="n">
        <v>0</v>
      </c>
      <c r="Q251" t="n">
        <v>0</v>
      </c>
      <c r="R251" s="2" t="inlineStr"/>
    </row>
    <row r="252" ht="15" customHeight="1">
      <c r="A252" t="inlineStr">
        <is>
          <t>A 6226-2025</t>
        </is>
      </c>
      <c r="B252" s="1" t="n">
        <v>45698.54723379629</v>
      </c>
      <c r="C252" s="1" t="n">
        <v>46084</v>
      </c>
      <c r="D252" t="inlineStr">
        <is>
          <t>JÖNKÖPINGS LÄN</t>
        </is>
      </c>
      <c r="E252" t="inlineStr">
        <is>
          <t>HABO</t>
        </is>
      </c>
      <c r="G252" t="n">
        <v>6</v>
      </c>
      <c r="H252" t="n">
        <v>0</v>
      </c>
      <c r="I252" t="n">
        <v>0</v>
      </c>
      <c r="J252" t="n">
        <v>0</v>
      </c>
      <c r="K252" t="n">
        <v>0</v>
      </c>
      <c r="L252" t="n">
        <v>0</v>
      </c>
      <c r="M252" t="n">
        <v>0</v>
      </c>
      <c r="N252" t="n">
        <v>0</v>
      </c>
      <c r="O252" t="n">
        <v>0</v>
      </c>
      <c r="P252" t="n">
        <v>0</v>
      </c>
      <c r="Q252" t="n">
        <v>0</v>
      </c>
      <c r="R252" s="2" t="inlineStr"/>
    </row>
    <row r="253" ht="15" customHeight="1">
      <c r="A253" t="inlineStr">
        <is>
          <t>A 3282-2026</t>
        </is>
      </c>
      <c r="B253" s="1" t="n">
        <v>46041.62421296296</v>
      </c>
      <c r="C253" s="1" t="n">
        <v>46084</v>
      </c>
      <c r="D253" t="inlineStr">
        <is>
          <t>JÖNKÖPINGS LÄN</t>
        </is>
      </c>
      <c r="E253" t="inlineStr">
        <is>
          <t>HABO</t>
        </is>
      </c>
      <c r="G253" t="n">
        <v>0.8</v>
      </c>
      <c r="H253" t="n">
        <v>0</v>
      </c>
      <c r="I253" t="n">
        <v>0</v>
      </c>
      <c r="J253" t="n">
        <v>0</v>
      </c>
      <c r="K253" t="n">
        <v>0</v>
      </c>
      <c r="L253" t="n">
        <v>0</v>
      </c>
      <c r="M253" t="n">
        <v>0</v>
      </c>
      <c r="N253" t="n">
        <v>0</v>
      </c>
      <c r="O253" t="n">
        <v>0</v>
      </c>
      <c r="P253" t="n">
        <v>0</v>
      </c>
      <c r="Q253" t="n">
        <v>0</v>
      </c>
      <c r="R253" s="2" t="inlineStr"/>
    </row>
    <row r="254" ht="15" customHeight="1">
      <c r="A254" t="inlineStr">
        <is>
          <t>A 32238-2023</t>
        </is>
      </c>
      <c r="B254" s="1" t="n">
        <v>45119.96327546296</v>
      </c>
      <c r="C254" s="1" t="n">
        <v>46084</v>
      </c>
      <c r="D254" t="inlineStr">
        <is>
          <t>JÖNKÖPINGS LÄN</t>
        </is>
      </c>
      <c r="E254" t="inlineStr">
        <is>
          <t>HABO</t>
        </is>
      </c>
      <c r="G254" t="n">
        <v>1.3</v>
      </c>
      <c r="H254" t="n">
        <v>0</v>
      </c>
      <c r="I254" t="n">
        <v>0</v>
      </c>
      <c r="J254" t="n">
        <v>0</v>
      </c>
      <c r="K254" t="n">
        <v>0</v>
      </c>
      <c r="L254" t="n">
        <v>0</v>
      </c>
      <c r="M254" t="n">
        <v>0</v>
      </c>
      <c r="N254" t="n">
        <v>0</v>
      </c>
      <c r="O254" t="n">
        <v>0</v>
      </c>
      <c r="P254" t="n">
        <v>0</v>
      </c>
      <c r="Q254" t="n">
        <v>0</v>
      </c>
      <c r="R254" s="2" t="inlineStr"/>
    </row>
    <row r="255" ht="15" customHeight="1">
      <c r="A255" t="inlineStr">
        <is>
          <t>A 36481-2023</t>
        </is>
      </c>
      <c r="B255" s="1" t="n">
        <v>45152.72302083333</v>
      </c>
      <c r="C255" s="1" t="n">
        <v>46084</v>
      </c>
      <c r="D255" t="inlineStr">
        <is>
          <t>JÖNKÖPINGS LÄN</t>
        </is>
      </c>
      <c r="E255" t="inlineStr">
        <is>
          <t>HABO</t>
        </is>
      </c>
      <c r="G255" t="n">
        <v>5.3</v>
      </c>
      <c r="H255" t="n">
        <v>0</v>
      </c>
      <c r="I255" t="n">
        <v>0</v>
      </c>
      <c r="J255" t="n">
        <v>0</v>
      </c>
      <c r="K255" t="n">
        <v>0</v>
      </c>
      <c r="L255" t="n">
        <v>0</v>
      </c>
      <c r="M255" t="n">
        <v>0</v>
      </c>
      <c r="N255" t="n">
        <v>0</v>
      </c>
      <c r="O255" t="n">
        <v>0</v>
      </c>
      <c r="P255" t="n">
        <v>0</v>
      </c>
      <c r="Q255" t="n">
        <v>0</v>
      </c>
      <c r="R255" s="2" t="inlineStr"/>
    </row>
    <row r="256" ht="15" customHeight="1">
      <c r="A256" t="inlineStr">
        <is>
          <t>A 49446-2024</t>
        </is>
      </c>
      <c r="B256" s="1" t="n">
        <v>45595.95630787037</v>
      </c>
      <c r="C256" s="1" t="n">
        <v>46084</v>
      </c>
      <c r="D256" t="inlineStr">
        <is>
          <t>JÖNKÖPINGS LÄN</t>
        </is>
      </c>
      <c r="E256" t="inlineStr">
        <is>
          <t>HABO</t>
        </is>
      </c>
      <c r="G256" t="n">
        <v>1.1</v>
      </c>
      <c r="H256" t="n">
        <v>0</v>
      </c>
      <c r="I256" t="n">
        <v>0</v>
      </c>
      <c r="J256" t="n">
        <v>0</v>
      </c>
      <c r="K256" t="n">
        <v>0</v>
      </c>
      <c r="L256" t="n">
        <v>0</v>
      </c>
      <c r="M256" t="n">
        <v>0</v>
      </c>
      <c r="N256" t="n">
        <v>0</v>
      </c>
      <c r="O256" t="n">
        <v>0</v>
      </c>
      <c r="P256" t="n">
        <v>0</v>
      </c>
      <c r="Q256" t="n">
        <v>0</v>
      </c>
      <c r="R256" s="2" t="inlineStr"/>
    </row>
    <row r="257" ht="15" customHeight="1">
      <c r="A257" t="inlineStr">
        <is>
          <t>A 49449-2024</t>
        </is>
      </c>
      <c r="B257" s="1" t="n">
        <v>45595.96761574074</v>
      </c>
      <c r="C257" s="1" t="n">
        <v>46084</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11887-2023</t>
        </is>
      </c>
      <c r="B258" s="1" t="n">
        <v>44995.43578703704</v>
      </c>
      <c r="C258" s="1" t="n">
        <v>46084</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16726-2023</t>
        </is>
      </c>
      <c r="B259" s="1" t="n">
        <v>45030.67268518519</v>
      </c>
      <c r="C259" s="1" t="n">
        <v>46084</v>
      </c>
      <c r="D259" t="inlineStr">
        <is>
          <t>JÖNKÖPINGS LÄN</t>
        </is>
      </c>
      <c r="E259" t="inlineStr">
        <is>
          <t>HABO</t>
        </is>
      </c>
      <c r="G259" t="n">
        <v>0.7</v>
      </c>
      <c r="H259" t="n">
        <v>0</v>
      </c>
      <c r="I259" t="n">
        <v>0</v>
      </c>
      <c r="J259" t="n">
        <v>0</v>
      </c>
      <c r="K259" t="n">
        <v>0</v>
      </c>
      <c r="L259" t="n">
        <v>0</v>
      </c>
      <c r="M259" t="n">
        <v>0</v>
      </c>
      <c r="N259" t="n">
        <v>0</v>
      </c>
      <c r="O259" t="n">
        <v>0</v>
      </c>
      <c r="P259" t="n">
        <v>0</v>
      </c>
      <c r="Q259" t="n">
        <v>0</v>
      </c>
      <c r="R259" s="2" t="inlineStr"/>
    </row>
    <row r="260" ht="15" customHeight="1">
      <c r="A260" t="inlineStr">
        <is>
          <t>A 9931-2024</t>
        </is>
      </c>
      <c r="B260" s="1" t="n">
        <v>45363</v>
      </c>
      <c r="C260" s="1" t="n">
        <v>46084</v>
      </c>
      <c r="D260" t="inlineStr">
        <is>
          <t>JÖNKÖPINGS LÄN</t>
        </is>
      </c>
      <c r="E260" t="inlineStr">
        <is>
          <t>HABO</t>
        </is>
      </c>
      <c r="G260" t="n">
        <v>1.1</v>
      </c>
      <c r="H260" t="n">
        <v>0</v>
      </c>
      <c r="I260" t="n">
        <v>0</v>
      </c>
      <c r="J260" t="n">
        <v>0</v>
      </c>
      <c r="K260" t="n">
        <v>0</v>
      </c>
      <c r="L260" t="n">
        <v>0</v>
      </c>
      <c r="M260" t="n">
        <v>0</v>
      </c>
      <c r="N260" t="n">
        <v>0</v>
      </c>
      <c r="O260" t="n">
        <v>0</v>
      </c>
      <c r="P260" t="n">
        <v>0</v>
      </c>
      <c r="Q260" t="n">
        <v>0</v>
      </c>
      <c r="R260" s="2" t="inlineStr"/>
    </row>
    <row r="261" ht="15" customHeight="1">
      <c r="A261" t="inlineStr">
        <is>
          <t>A 5961-2026</t>
        </is>
      </c>
      <c r="B261" s="1" t="n">
        <v>46052.50719907408</v>
      </c>
      <c r="C261" s="1" t="n">
        <v>46084</v>
      </c>
      <c r="D261" t="inlineStr">
        <is>
          <t>JÖNKÖPINGS LÄN</t>
        </is>
      </c>
      <c r="E261" t="inlineStr">
        <is>
          <t>HABO</t>
        </is>
      </c>
      <c r="G261" t="n">
        <v>2</v>
      </c>
      <c r="H261" t="n">
        <v>0</v>
      </c>
      <c r="I261" t="n">
        <v>0</v>
      </c>
      <c r="J261" t="n">
        <v>0</v>
      </c>
      <c r="K261" t="n">
        <v>0</v>
      </c>
      <c r="L261" t="n">
        <v>0</v>
      </c>
      <c r="M261" t="n">
        <v>0</v>
      </c>
      <c r="N261" t="n">
        <v>0</v>
      </c>
      <c r="O261" t="n">
        <v>0</v>
      </c>
      <c r="P261" t="n">
        <v>0</v>
      </c>
      <c r="Q261" t="n">
        <v>0</v>
      </c>
      <c r="R261" s="2" t="inlineStr"/>
    </row>
    <row r="262" ht="15" customHeight="1">
      <c r="A262" t="inlineStr">
        <is>
          <t>A 3710-2023</t>
        </is>
      </c>
      <c r="B262" s="1" t="n">
        <v>44951</v>
      </c>
      <c r="C262" s="1" t="n">
        <v>46084</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6367-2026</t>
        </is>
      </c>
      <c r="B263" s="1" t="n">
        <v>46055.62700231482</v>
      </c>
      <c r="C263" s="1" t="n">
        <v>46084</v>
      </c>
      <c r="D263" t="inlineStr">
        <is>
          <t>JÖNKÖPINGS LÄN</t>
        </is>
      </c>
      <c r="E263" t="inlineStr">
        <is>
          <t>HABO</t>
        </is>
      </c>
      <c r="G263" t="n">
        <v>0.9</v>
      </c>
      <c r="H263" t="n">
        <v>0</v>
      </c>
      <c r="I263" t="n">
        <v>0</v>
      </c>
      <c r="J263" t="n">
        <v>0</v>
      </c>
      <c r="K263" t="n">
        <v>0</v>
      </c>
      <c r="L263" t="n">
        <v>0</v>
      </c>
      <c r="M263" t="n">
        <v>0</v>
      </c>
      <c r="N263" t="n">
        <v>0</v>
      </c>
      <c r="O263" t="n">
        <v>0</v>
      </c>
      <c r="P263" t="n">
        <v>0</v>
      </c>
      <c r="Q263" t="n">
        <v>0</v>
      </c>
      <c r="R263" s="2" t="inlineStr"/>
    </row>
    <row r="264" ht="15" customHeight="1">
      <c r="A264" t="inlineStr">
        <is>
          <t>A 35115-2021</t>
        </is>
      </c>
      <c r="B264" s="1" t="n">
        <v>44384</v>
      </c>
      <c r="C264" s="1" t="n">
        <v>46084</v>
      </c>
      <c r="D264" t="inlineStr">
        <is>
          <t>JÖNKÖPINGS LÄN</t>
        </is>
      </c>
      <c r="E264" t="inlineStr">
        <is>
          <t>HABO</t>
        </is>
      </c>
      <c r="G264" t="n">
        <v>8.4</v>
      </c>
      <c r="H264" t="n">
        <v>0</v>
      </c>
      <c r="I264" t="n">
        <v>0</v>
      </c>
      <c r="J264" t="n">
        <v>0</v>
      </c>
      <c r="K264" t="n">
        <v>0</v>
      </c>
      <c r="L264" t="n">
        <v>0</v>
      </c>
      <c r="M264" t="n">
        <v>0</v>
      </c>
      <c r="N264" t="n">
        <v>0</v>
      </c>
      <c r="O264" t="n">
        <v>0</v>
      </c>
      <c r="P264" t="n">
        <v>0</v>
      </c>
      <c r="Q264" t="n">
        <v>0</v>
      </c>
      <c r="R264" s="2" t="inlineStr"/>
    </row>
    <row r="265" ht="15" customHeight="1">
      <c r="A265" t="inlineStr">
        <is>
          <t>A 49168-2023</t>
        </is>
      </c>
      <c r="B265" s="1" t="n">
        <v>45210.54012731482</v>
      </c>
      <c r="C265" s="1" t="n">
        <v>46084</v>
      </c>
      <c r="D265" t="inlineStr">
        <is>
          <t>JÖNKÖPINGS LÄN</t>
        </is>
      </c>
      <c r="E265" t="inlineStr">
        <is>
          <t>HABO</t>
        </is>
      </c>
      <c r="G265" t="n">
        <v>2.6</v>
      </c>
      <c r="H265" t="n">
        <v>0</v>
      </c>
      <c r="I265" t="n">
        <v>0</v>
      </c>
      <c r="J265" t="n">
        <v>0</v>
      </c>
      <c r="K265" t="n">
        <v>0</v>
      </c>
      <c r="L265" t="n">
        <v>0</v>
      </c>
      <c r="M265" t="n">
        <v>0</v>
      </c>
      <c r="N265" t="n">
        <v>0</v>
      </c>
      <c r="O265" t="n">
        <v>0</v>
      </c>
      <c r="P265" t="n">
        <v>0</v>
      </c>
      <c r="Q265" t="n">
        <v>0</v>
      </c>
      <c r="R265" s="2" t="inlineStr"/>
    </row>
    <row r="266" ht="15" customHeight="1">
      <c r="A266" t="inlineStr">
        <is>
          <t>A 63922-2023</t>
        </is>
      </c>
      <c r="B266" s="1" t="n">
        <v>45278</v>
      </c>
      <c r="C266" s="1" t="n">
        <v>46084</v>
      </c>
      <c r="D266" t="inlineStr">
        <is>
          <t>JÖNKÖPINGS LÄN</t>
        </is>
      </c>
      <c r="E266" t="inlineStr">
        <is>
          <t>HABO</t>
        </is>
      </c>
      <c r="G266" t="n">
        <v>1.4</v>
      </c>
      <c r="H266" t="n">
        <v>0</v>
      </c>
      <c r="I266" t="n">
        <v>0</v>
      </c>
      <c r="J266" t="n">
        <v>0</v>
      </c>
      <c r="K266" t="n">
        <v>0</v>
      </c>
      <c r="L266" t="n">
        <v>0</v>
      </c>
      <c r="M266" t="n">
        <v>0</v>
      </c>
      <c r="N266" t="n">
        <v>0</v>
      </c>
      <c r="O266" t="n">
        <v>0</v>
      </c>
      <c r="P266" t="n">
        <v>0</v>
      </c>
      <c r="Q266" t="n">
        <v>0</v>
      </c>
      <c r="R266" s="2" t="inlineStr"/>
    </row>
    <row r="267" ht="15" customHeight="1">
      <c r="A267" t="inlineStr">
        <is>
          <t>A 60971-2022</t>
        </is>
      </c>
      <c r="B267" s="1" t="n">
        <v>44914.65731481482</v>
      </c>
      <c r="C267" s="1" t="n">
        <v>46084</v>
      </c>
      <c r="D267" t="inlineStr">
        <is>
          <t>JÖNKÖPINGS LÄN</t>
        </is>
      </c>
      <c r="E267" t="inlineStr">
        <is>
          <t>HABO</t>
        </is>
      </c>
      <c r="G267" t="n">
        <v>0.8</v>
      </c>
      <c r="H267" t="n">
        <v>0</v>
      </c>
      <c r="I267" t="n">
        <v>0</v>
      </c>
      <c r="J267" t="n">
        <v>0</v>
      </c>
      <c r="K267" t="n">
        <v>0</v>
      </c>
      <c r="L267" t="n">
        <v>0</v>
      </c>
      <c r="M267" t="n">
        <v>0</v>
      </c>
      <c r="N267" t="n">
        <v>0</v>
      </c>
      <c r="O267" t="n">
        <v>0</v>
      </c>
      <c r="P267" t="n">
        <v>0</v>
      </c>
      <c r="Q267" t="n">
        <v>0</v>
      </c>
      <c r="R267" s="2" t="inlineStr"/>
    </row>
    <row r="268" ht="15" customHeight="1">
      <c r="A268" t="inlineStr">
        <is>
          <t>A 50710-2023</t>
        </is>
      </c>
      <c r="B268" s="1" t="n">
        <v>45217.56189814815</v>
      </c>
      <c r="C268" s="1" t="n">
        <v>46084</v>
      </c>
      <c r="D268" t="inlineStr">
        <is>
          <t>JÖNKÖPINGS LÄN</t>
        </is>
      </c>
      <c r="E268" t="inlineStr">
        <is>
          <t>HABO</t>
        </is>
      </c>
      <c r="G268" t="n">
        <v>1.4</v>
      </c>
      <c r="H268" t="n">
        <v>0</v>
      </c>
      <c r="I268" t="n">
        <v>0</v>
      </c>
      <c r="J268" t="n">
        <v>0</v>
      </c>
      <c r="K268" t="n">
        <v>0</v>
      </c>
      <c r="L268" t="n">
        <v>0</v>
      </c>
      <c r="M268" t="n">
        <v>0</v>
      </c>
      <c r="N268" t="n">
        <v>0</v>
      </c>
      <c r="O268" t="n">
        <v>0</v>
      </c>
      <c r="P268" t="n">
        <v>0</v>
      </c>
      <c r="Q268" t="n">
        <v>0</v>
      </c>
      <c r="R268" s="2" t="inlineStr"/>
    </row>
    <row r="269" ht="15" customHeight="1">
      <c r="A269" t="inlineStr">
        <is>
          <t>A 27796-2024</t>
        </is>
      </c>
      <c r="B269" s="1" t="n">
        <v>45475.56065972222</v>
      </c>
      <c r="C269" s="1" t="n">
        <v>46084</v>
      </c>
      <c r="D269" t="inlineStr">
        <is>
          <t>JÖNKÖPINGS LÄN</t>
        </is>
      </c>
      <c r="E269" t="inlineStr">
        <is>
          <t>HABO</t>
        </is>
      </c>
      <c r="G269" t="n">
        <v>1.9</v>
      </c>
      <c r="H269" t="n">
        <v>0</v>
      </c>
      <c r="I269" t="n">
        <v>0</v>
      </c>
      <c r="J269" t="n">
        <v>0</v>
      </c>
      <c r="K269" t="n">
        <v>0</v>
      </c>
      <c r="L269" t="n">
        <v>0</v>
      </c>
      <c r="M269" t="n">
        <v>0</v>
      </c>
      <c r="N269" t="n">
        <v>0</v>
      </c>
      <c r="O269" t="n">
        <v>0</v>
      </c>
      <c r="P269" t="n">
        <v>0</v>
      </c>
      <c r="Q269" t="n">
        <v>0</v>
      </c>
      <c r="R269" s="2" t="inlineStr"/>
    </row>
    <row r="270" ht="15" customHeight="1">
      <c r="A270" t="inlineStr">
        <is>
          <t>A 29408-2023</t>
        </is>
      </c>
      <c r="B270" s="1" t="n">
        <v>45106</v>
      </c>
      <c r="C270" s="1" t="n">
        <v>46084</v>
      </c>
      <c r="D270" t="inlineStr">
        <is>
          <t>JÖNKÖPINGS LÄN</t>
        </is>
      </c>
      <c r="E270" t="inlineStr">
        <is>
          <t>HABO</t>
        </is>
      </c>
      <c r="G270" t="n">
        <v>1.2</v>
      </c>
      <c r="H270" t="n">
        <v>0</v>
      </c>
      <c r="I270" t="n">
        <v>0</v>
      </c>
      <c r="J270" t="n">
        <v>0</v>
      </c>
      <c r="K270" t="n">
        <v>0</v>
      </c>
      <c r="L270" t="n">
        <v>0</v>
      </c>
      <c r="M270" t="n">
        <v>0</v>
      </c>
      <c r="N270" t="n">
        <v>0</v>
      </c>
      <c r="O270" t="n">
        <v>0</v>
      </c>
      <c r="P270" t="n">
        <v>0</v>
      </c>
      <c r="Q270" t="n">
        <v>0</v>
      </c>
      <c r="R270" s="2" t="inlineStr"/>
    </row>
    <row r="271" ht="15" customHeight="1">
      <c r="A271" t="inlineStr">
        <is>
          <t>A 32245-2023</t>
        </is>
      </c>
      <c r="B271" s="1" t="n">
        <v>45119.99208333333</v>
      </c>
      <c r="C271" s="1" t="n">
        <v>46084</v>
      </c>
      <c r="D271" t="inlineStr">
        <is>
          <t>JÖNKÖPINGS LÄN</t>
        </is>
      </c>
      <c r="E271" t="inlineStr">
        <is>
          <t>HABO</t>
        </is>
      </c>
      <c r="G271" t="n">
        <v>0.7</v>
      </c>
      <c r="H271" t="n">
        <v>0</v>
      </c>
      <c r="I271" t="n">
        <v>0</v>
      </c>
      <c r="J271" t="n">
        <v>0</v>
      </c>
      <c r="K271" t="n">
        <v>0</v>
      </c>
      <c r="L271" t="n">
        <v>0</v>
      </c>
      <c r="M271" t="n">
        <v>0</v>
      </c>
      <c r="N271" t="n">
        <v>0</v>
      </c>
      <c r="O271" t="n">
        <v>0</v>
      </c>
      <c r="P271" t="n">
        <v>0</v>
      </c>
      <c r="Q271" t="n">
        <v>0</v>
      </c>
      <c r="R271" s="2" t="inlineStr"/>
    </row>
    <row r="272" ht="15" customHeight="1">
      <c r="A272" t="inlineStr">
        <is>
          <t>A 32246-2023</t>
        </is>
      </c>
      <c r="B272" s="1" t="n">
        <v>45120</v>
      </c>
      <c r="C272" s="1" t="n">
        <v>46084</v>
      </c>
      <c r="D272" t="inlineStr">
        <is>
          <t>JÖNKÖPINGS LÄN</t>
        </is>
      </c>
      <c r="E272" t="inlineStr">
        <is>
          <t>HABO</t>
        </is>
      </c>
      <c r="G272" t="n">
        <v>0.6</v>
      </c>
      <c r="H272" t="n">
        <v>0</v>
      </c>
      <c r="I272" t="n">
        <v>0</v>
      </c>
      <c r="J272" t="n">
        <v>0</v>
      </c>
      <c r="K272" t="n">
        <v>0</v>
      </c>
      <c r="L272" t="n">
        <v>0</v>
      </c>
      <c r="M272" t="n">
        <v>0</v>
      </c>
      <c r="N272" t="n">
        <v>0</v>
      </c>
      <c r="O272" t="n">
        <v>0</v>
      </c>
      <c r="P272" t="n">
        <v>0</v>
      </c>
      <c r="Q272" t="n">
        <v>0</v>
      </c>
      <c r="R272" s="2" t="inlineStr"/>
    </row>
    <row r="273" ht="15" customHeight="1">
      <c r="A273" t="inlineStr">
        <is>
          <t>A 32247-2023</t>
        </is>
      </c>
      <c r="B273" s="1" t="n">
        <v>45120.00594907408</v>
      </c>
      <c r="C273" s="1" t="n">
        <v>46084</v>
      </c>
      <c r="D273" t="inlineStr">
        <is>
          <t>JÖNKÖPINGS LÄN</t>
        </is>
      </c>
      <c r="E273" t="inlineStr">
        <is>
          <t>HABO</t>
        </is>
      </c>
      <c r="G273" t="n">
        <v>0.6</v>
      </c>
      <c r="H273" t="n">
        <v>0</v>
      </c>
      <c r="I273" t="n">
        <v>0</v>
      </c>
      <c r="J273" t="n">
        <v>0</v>
      </c>
      <c r="K273" t="n">
        <v>0</v>
      </c>
      <c r="L273" t="n">
        <v>0</v>
      </c>
      <c r="M273" t="n">
        <v>0</v>
      </c>
      <c r="N273" t="n">
        <v>0</v>
      </c>
      <c r="O273" t="n">
        <v>0</v>
      </c>
      <c r="P273" t="n">
        <v>0</v>
      </c>
      <c r="Q273" t="n">
        <v>0</v>
      </c>
      <c r="R273" s="2" t="inlineStr"/>
    </row>
    <row r="274" ht="15" customHeight="1">
      <c r="A274" t="inlineStr">
        <is>
          <t>A 32253-2023</t>
        </is>
      </c>
      <c r="B274" s="1" t="n">
        <v>45120.05320601852</v>
      </c>
      <c r="C274" s="1" t="n">
        <v>46084</v>
      </c>
      <c r="D274" t="inlineStr">
        <is>
          <t>JÖNKÖPINGS LÄN</t>
        </is>
      </c>
      <c r="E274" t="inlineStr">
        <is>
          <t>HABO</t>
        </is>
      </c>
      <c r="G274" t="n">
        <v>2.9</v>
      </c>
      <c r="H274" t="n">
        <v>0</v>
      </c>
      <c r="I274" t="n">
        <v>0</v>
      </c>
      <c r="J274" t="n">
        <v>0</v>
      </c>
      <c r="K274" t="n">
        <v>0</v>
      </c>
      <c r="L274" t="n">
        <v>0</v>
      </c>
      <c r="M274" t="n">
        <v>0</v>
      </c>
      <c r="N274" t="n">
        <v>0</v>
      </c>
      <c r="O274" t="n">
        <v>0</v>
      </c>
      <c r="P274" t="n">
        <v>0</v>
      </c>
      <c r="Q274" t="n">
        <v>0</v>
      </c>
      <c r="R274" s="2" t="inlineStr"/>
    </row>
    <row r="275" ht="15" customHeight="1">
      <c r="A275" t="inlineStr">
        <is>
          <t>A 4551-2025</t>
        </is>
      </c>
      <c r="B275" s="1" t="n">
        <v>45687.41087962963</v>
      </c>
      <c r="C275" s="1" t="n">
        <v>46084</v>
      </c>
      <c r="D275" t="inlineStr">
        <is>
          <t>JÖNKÖPINGS LÄN</t>
        </is>
      </c>
      <c r="E275" t="inlineStr">
        <is>
          <t>HABO</t>
        </is>
      </c>
      <c r="G275" t="n">
        <v>0.4</v>
      </c>
      <c r="H275" t="n">
        <v>0</v>
      </c>
      <c r="I275" t="n">
        <v>0</v>
      </c>
      <c r="J275" t="n">
        <v>0</v>
      </c>
      <c r="K275" t="n">
        <v>0</v>
      </c>
      <c r="L275" t="n">
        <v>0</v>
      </c>
      <c r="M275" t="n">
        <v>0</v>
      </c>
      <c r="N275" t="n">
        <v>0</v>
      </c>
      <c r="O275" t="n">
        <v>0</v>
      </c>
      <c r="P275" t="n">
        <v>0</v>
      </c>
      <c r="Q275" t="n">
        <v>0</v>
      </c>
      <c r="R275" s="2" t="inlineStr"/>
    </row>
    <row r="276" ht="15" customHeight="1">
      <c r="A276" t="inlineStr">
        <is>
          <t>A 31591-2022</t>
        </is>
      </c>
      <c r="B276" s="1" t="n">
        <v>44775.56290509259</v>
      </c>
      <c r="C276" s="1" t="n">
        <v>46084</v>
      </c>
      <c r="D276" t="inlineStr">
        <is>
          <t>JÖNKÖPINGS LÄN</t>
        </is>
      </c>
      <c r="E276" t="inlineStr">
        <is>
          <t>HABO</t>
        </is>
      </c>
      <c r="G276" t="n">
        <v>0.5</v>
      </c>
      <c r="H276" t="n">
        <v>0</v>
      </c>
      <c r="I276" t="n">
        <v>0</v>
      </c>
      <c r="J276" t="n">
        <v>0</v>
      </c>
      <c r="K276" t="n">
        <v>0</v>
      </c>
      <c r="L276" t="n">
        <v>0</v>
      </c>
      <c r="M276" t="n">
        <v>0</v>
      </c>
      <c r="N276" t="n">
        <v>0</v>
      </c>
      <c r="O276" t="n">
        <v>0</v>
      </c>
      <c r="P276" t="n">
        <v>0</v>
      </c>
      <c r="Q276" t="n">
        <v>0</v>
      </c>
      <c r="R276" s="2" t="inlineStr"/>
    </row>
    <row r="277" ht="15" customHeight="1">
      <c r="A277" t="inlineStr">
        <is>
          <t>A 55368-2024</t>
        </is>
      </c>
      <c r="B277" s="1" t="n">
        <v>45621</v>
      </c>
      <c r="C277" s="1" t="n">
        <v>46084</v>
      </c>
      <c r="D277" t="inlineStr">
        <is>
          <t>JÖNKÖPINGS LÄN</t>
        </is>
      </c>
      <c r="E277" t="inlineStr">
        <is>
          <t>HABO</t>
        </is>
      </c>
      <c r="G277" t="n">
        <v>4.6</v>
      </c>
      <c r="H277" t="n">
        <v>0</v>
      </c>
      <c r="I277" t="n">
        <v>0</v>
      </c>
      <c r="J277" t="n">
        <v>0</v>
      </c>
      <c r="K277" t="n">
        <v>0</v>
      </c>
      <c r="L277" t="n">
        <v>0</v>
      </c>
      <c r="M277" t="n">
        <v>0</v>
      </c>
      <c r="N277" t="n">
        <v>0</v>
      </c>
      <c r="O277" t="n">
        <v>0</v>
      </c>
      <c r="P277" t="n">
        <v>0</v>
      </c>
      <c r="Q277" t="n">
        <v>0</v>
      </c>
      <c r="R277" s="2" t="inlineStr"/>
    </row>
    <row r="278" ht="15" customHeight="1">
      <c r="A278" t="inlineStr">
        <is>
          <t>A 55372-2024</t>
        </is>
      </c>
      <c r="B278" s="1" t="n">
        <v>45621.93097222222</v>
      </c>
      <c r="C278" s="1" t="n">
        <v>46084</v>
      </c>
      <c r="D278" t="inlineStr">
        <is>
          <t>JÖNKÖPINGS LÄN</t>
        </is>
      </c>
      <c r="E278" t="inlineStr">
        <is>
          <t>HABO</t>
        </is>
      </c>
      <c r="G278" t="n">
        <v>1.1</v>
      </c>
      <c r="H278" t="n">
        <v>0</v>
      </c>
      <c r="I278" t="n">
        <v>0</v>
      </c>
      <c r="J278" t="n">
        <v>0</v>
      </c>
      <c r="K278" t="n">
        <v>0</v>
      </c>
      <c r="L278" t="n">
        <v>0</v>
      </c>
      <c r="M278" t="n">
        <v>0</v>
      </c>
      <c r="N278" t="n">
        <v>0</v>
      </c>
      <c r="O278" t="n">
        <v>0</v>
      </c>
      <c r="P278" t="n">
        <v>0</v>
      </c>
      <c r="Q278" t="n">
        <v>0</v>
      </c>
      <c r="R278" s="2" t="inlineStr"/>
    </row>
    <row r="279" ht="15" customHeight="1">
      <c r="A279" t="inlineStr">
        <is>
          <t>A 55375-2024</t>
        </is>
      </c>
      <c r="B279" s="1" t="n">
        <v>45621.93724537037</v>
      </c>
      <c r="C279" s="1" t="n">
        <v>46084</v>
      </c>
      <c r="D279" t="inlineStr">
        <is>
          <t>JÖNKÖPINGS LÄN</t>
        </is>
      </c>
      <c r="E279" t="inlineStr">
        <is>
          <t>HABO</t>
        </is>
      </c>
      <c r="G279" t="n">
        <v>3.3</v>
      </c>
      <c r="H279" t="n">
        <v>0</v>
      </c>
      <c r="I279" t="n">
        <v>0</v>
      </c>
      <c r="J279" t="n">
        <v>0</v>
      </c>
      <c r="K279" t="n">
        <v>0</v>
      </c>
      <c r="L279" t="n">
        <v>0</v>
      </c>
      <c r="M279" t="n">
        <v>0</v>
      </c>
      <c r="N279" t="n">
        <v>0</v>
      </c>
      <c r="O279" t="n">
        <v>0</v>
      </c>
      <c r="P279" t="n">
        <v>0</v>
      </c>
      <c r="Q279" t="n">
        <v>0</v>
      </c>
      <c r="R279" s="2" t="inlineStr"/>
    </row>
    <row r="280" ht="15" customHeight="1">
      <c r="A280" t="inlineStr">
        <is>
          <t>A 57360-2022</t>
        </is>
      </c>
      <c r="B280" s="1" t="n">
        <v>44896.42854166667</v>
      </c>
      <c r="C280" s="1" t="n">
        <v>46084</v>
      </c>
      <c r="D280" t="inlineStr">
        <is>
          <t>JÖNKÖPINGS LÄN</t>
        </is>
      </c>
      <c r="E280" t="inlineStr">
        <is>
          <t>HABO</t>
        </is>
      </c>
      <c r="G280" t="n">
        <v>1.8</v>
      </c>
      <c r="H280" t="n">
        <v>0</v>
      </c>
      <c r="I280" t="n">
        <v>0</v>
      </c>
      <c r="J280" t="n">
        <v>0</v>
      </c>
      <c r="K280" t="n">
        <v>0</v>
      </c>
      <c r="L280" t="n">
        <v>0</v>
      </c>
      <c r="M280" t="n">
        <v>0</v>
      </c>
      <c r="N280" t="n">
        <v>0</v>
      </c>
      <c r="O280" t="n">
        <v>0</v>
      </c>
      <c r="P280" t="n">
        <v>0</v>
      </c>
      <c r="Q280" t="n">
        <v>0</v>
      </c>
      <c r="R280" s="2" t="inlineStr"/>
    </row>
    <row r="281" ht="15" customHeight="1">
      <c r="A281" t="inlineStr">
        <is>
          <t>A 49855-2024</t>
        </is>
      </c>
      <c r="B281" s="1" t="n">
        <v>45597.468125</v>
      </c>
      <c r="C281" s="1" t="n">
        <v>46084</v>
      </c>
      <c r="D281" t="inlineStr">
        <is>
          <t>JÖNKÖPINGS LÄN</t>
        </is>
      </c>
      <c r="E281" t="inlineStr">
        <is>
          <t>HABO</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7419-2026</t>
        </is>
      </c>
      <c r="B282" s="1" t="n">
        <v>46059.42384259259</v>
      </c>
      <c r="C282" s="1" t="n">
        <v>46084</v>
      </c>
      <c r="D282" t="inlineStr">
        <is>
          <t>JÖNKÖPINGS LÄN</t>
        </is>
      </c>
      <c r="E282" t="inlineStr">
        <is>
          <t>HABO</t>
        </is>
      </c>
      <c r="G282" t="n">
        <v>0.4</v>
      </c>
      <c r="H282" t="n">
        <v>0</v>
      </c>
      <c r="I282" t="n">
        <v>0</v>
      </c>
      <c r="J282" t="n">
        <v>0</v>
      </c>
      <c r="K282" t="n">
        <v>0</v>
      </c>
      <c r="L282" t="n">
        <v>0</v>
      </c>
      <c r="M282" t="n">
        <v>0</v>
      </c>
      <c r="N282" t="n">
        <v>0</v>
      </c>
      <c r="O282" t="n">
        <v>0</v>
      </c>
      <c r="P282" t="n">
        <v>0</v>
      </c>
      <c r="Q282" t="n">
        <v>0</v>
      </c>
      <c r="R282" s="2" t="inlineStr"/>
    </row>
    <row r="283" ht="15" customHeight="1">
      <c r="A283" t="inlineStr">
        <is>
          <t>A 41622-2024</t>
        </is>
      </c>
      <c r="B283" s="1" t="n">
        <v>45560.60371527778</v>
      </c>
      <c r="C283" s="1" t="n">
        <v>46084</v>
      </c>
      <c r="D283" t="inlineStr">
        <is>
          <t>JÖNKÖPINGS LÄN</t>
        </is>
      </c>
      <c r="E283" t="inlineStr">
        <is>
          <t>HABO</t>
        </is>
      </c>
      <c r="G283" t="n">
        <v>1.7</v>
      </c>
      <c r="H283" t="n">
        <v>0</v>
      </c>
      <c r="I283" t="n">
        <v>0</v>
      </c>
      <c r="J283" t="n">
        <v>0</v>
      </c>
      <c r="K283" t="n">
        <v>0</v>
      </c>
      <c r="L283" t="n">
        <v>0</v>
      </c>
      <c r="M283" t="n">
        <v>0</v>
      </c>
      <c r="N283" t="n">
        <v>0</v>
      </c>
      <c r="O283" t="n">
        <v>0</v>
      </c>
      <c r="P283" t="n">
        <v>0</v>
      </c>
      <c r="Q283" t="n">
        <v>0</v>
      </c>
      <c r="R283" s="2" t="inlineStr"/>
    </row>
    <row r="284" ht="15" customHeight="1">
      <c r="A284" t="inlineStr">
        <is>
          <t>A 29733-2023</t>
        </is>
      </c>
      <c r="B284" s="1" t="n">
        <v>45107.45170138889</v>
      </c>
      <c r="C284" s="1" t="n">
        <v>46084</v>
      </c>
      <c r="D284" t="inlineStr">
        <is>
          <t>JÖNKÖPINGS LÄN</t>
        </is>
      </c>
      <c r="E284" t="inlineStr">
        <is>
          <t>HABO</t>
        </is>
      </c>
      <c r="G284" t="n">
        <v>0.3</v>
      </c>
      <c r="H284" t="n">
        <v>0</v>
      </c>
      <c r="I284" t="n">
        <v>0</v>
      </c>
      <c r="J284" t="n">
        <v>0</v>
      </c>
      <c r="K284" t="n">
        <v>0</v>
      </c>
      <c r="L284" t="n">
        <v>0</v>
      </c>
      <c r="M284" t="n">
        <v>0</v>
      </c>
      <c r="N284" t="n">
        <v>0</v>
      </c>
      <c r="O284" t="n">
        <v>0</v>
      </c>
      <c r="P284" t="n">
        <v>0</v>
      </c>
      <c r="Q284" t="n">
        <v>0</v>
      </c>
      <c r="R284" s="2" t="inlineStr"/>
    </row>
    <row r="285" ht="15" customHeight="1">
      <c r="A285" t="inlineStr">
        <is>
          <t>A 35574-2022</t>
        </is>
      </c>
      <c r="B285" s="1" t="n">
        <v>44799.41391203704</v>
      </c>
      <c r="C285" s="1" t="n">
        <v>46084</v>
      </c>
      <c r="D285" t="inlineStr">
        <is>
          <t>JÖNKÖPINGS LÄN</t>
        </is>
      </c>
      <c r="E285" t="inlineStr">
        <is>
          <t>HABO</t>
        </is>
      </c>
      <c r="G285" t="n">
        <v>3.3</v>
      </c>
      <c r="H285" t="n">
        <v>0</v>
      </c>
      <c r="I285" t="n">
        <v>0</v>
      </c>
      <c r="J285" t="n">
        <v>0</v>
      </c>
      <c r="K285" t="n">
        <v>0</v>
      </c>
      <c r="L285" t="n">
        <v>0</v>
      </c>
      <c r="M285" t="n">
        <v>0</v>
      </c>
      <c r="N285" t="n">
        <v>0</v>
      </c>
      <c r="O285" t="n">
        <v>0</v>
      </c>
      <c r="P285" t="n">
        <v>0</v>
      </c>
      <c r="Q285" t="n">
        <v>0</v>
      </c>
      <c r="R285" s="2" t="inlineStr"/>
    </row>
    <row r="286" ht="15" customHeight="1">
      <c r="A286" t="inlineStr">
        <is>
          <t>A 32539-2023</t>
        </is>
      </c>
      <c r="B286" s="1" t="n">
        <v>45121</v>
      </c>
      <c r="C286" s="1" t="n">
        <v>46084</v>
      </c>
      <c r="D286" t="inlineStr">
        <is>
          <t>JÖNKÖPINGS LÄN</t>
        </is>
      </c>
      <c r="E286" t="inlineStr">
        <is>
          <t>HABO</t>
        </is>
      </c>
      <c r="G286" t="n">
        <v>1.4</v>
      </c>
      <c r="H286" t="n">
        <v>0</v>
      </c>
      <c r="I286" t="n">
        <v>0</v>
      </c>
      <c r="J286" t="n">
        <v>0</v>
      </c>
      <c r="K286" t="n">
        <v>0</v>
      </c>
      <c r="L286" t="n">
        <v>0</v>
      </c>
      <c r="M286" t="n">
        <v>0</v>
      </c>
      <c r="N286" t="n">
        <v>0</v>
      </c>
      <c r="O286" t="n">
        <v>0</v>
      </c>
      <c r="P286" t="n">
        <v>0</v>
      </c>
      <c r="Q286" t="n">
        <v>0</v>
      </c>
      <c r="R286" s="2" t="inlineStr"/>
    </row>
    <row r="287" ht="15" customHeight="1">
      <c r="A287" t="inlineStr">
        <is>
          <t>A 36036-2023</t>
        </is>
      </c>
      <c r="B287" s="1" t="n">
        <v>45149.39180555556</v>
      </c>
      <c r="C287" s="1" t="n">
        <v>46084</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28810-2022</t>
        </is>
      </c>
      <c r="B288" s="1" t="n">
        <v>44749</v>
      </c>
      <c r="C288" s="1" t="n">
        <v>46084</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28817-2022</t>
        </is>
      </c>
      <c r="B289" s="1" t="n">
        <v>44749</v>
      </c>
      <c r="C289" s="1" t="n">
        <v>46084</v>
      </c>
      <c r="D289" t="inlineStr">
        <is>
          <t>JÖNKÖPINGS LÄN</t>
        </is>
      </c>
      <c r="E289" t="inlineStr">
        <is>
          <t>HABO</t>
        </is>
      </c>
      <c r="G289" t="n">
        <v>22.4</v>
      </c>
      <c r="H289" t="n">
        <v>0</v>
      </c>
      <c r="I289" t="n">
        <v>0</v>
      </c>
      <c r="J289" t="n">
        <v>0</v>
      </c>
      <c r="K289" t="n">
        <v>0</v>
      </c>
      <c r="L289" t="n">
        <v>0</v>
      </c>
      <c r="M289" t="n">
        <v>0</v>
      </c>
      <c r="N289" t="n">
        <v>0</v>
      </c>
      <c r="O289" t="n">
        <v>0</v>
      </c>
      <c r="P289" t="n">
        <v>0</v>
      </c>
      <c r="Q289" t="n">
        <v>0</v>
      </c>
      <c r="R289" s="2" t="inlineStr"/>
    </row>
    <row r="290" ht="15" customHeight="1">
      <c r="A290" t="inlineStr">
        <is>
          <t>A 28821-2022</t>
        </is>
      </c>
      <c r="B290" s="1" t="n">
        <v>44749</v>
      </c>
      <c r="C290" s="1" t="n">
        <v>46084</v>
      </c>
      <c r="D290" t="inlineStr">
        <is>
          <t>JÖNKÖPINGS LÄN</t>
        </is>
      </c>
      <c r="E290" t="inlineStr">
        <is>
          <t>HABO</t>
        </is>
      </c>
      <c r="G290" t="n">
        <v>3.2</v>
      </c>
      <c r="H290" t="n">
        <v>0</v>
      </c>
      <c r="I290" t="n">
        <v>0</v>
      </c>
      <c r="J290" t="n">
        <v>0</v>
      </c>
      <c r="K290" t="n">
        <v>0</v>
      </c>
      <c r="L290" t="n">
        <v>0</v>
      </c>
      <c r="M290" t="n">
        <v>0</v>
      </c>
      <c r="N290" t="n">
        <v>0</v>
      </c>
      <c r="O290" t="n">
        <v>0</v>
      </c>
      <c r="P290" t="n">
        <v>0</v>
      </c>
      <c r="Q290" t="n">
        <v>0</v>
      </c>
      <c r="R290" s="2" t="inlineStr"/>
    </row>
    <row r="291" ht="15" customHeight="1">
      <c r="A291" t="inlineStr">
        <is>
          <t>A 58673-2024</t>
        </is>
      </c>
      <c r="B291" s="1" t="n">
        <v>45635.61019675926</v>
      </c>
      <c r="C291" s="1" t="n">
        <v>46084</v>
      </c>
      <c r="D291" t="inlineStr">
        <is>
          <t>JÖNKÖPINGS LÄN</t>
        </is>
      </c>
      <c r="E291" t="inlineStr">
        <is>
          <t>HABO</t>
        </is>
      </c>
      <c r="G291" t="n">
        <v>0.4</v>
      </c>
      <c r="H291" t="n">
        <v>0</v>
      </c>
      <c r="I291" t="n">
        <v>0</v>
      </c>
      <c r="J291" t="n">
        <v>0</v>
      </c>
      <c r="K291" t="n">
        <v>0</v>
      </c>
      <c r="L291" t="n">
        <v>0</v>
      </c>
      <c r="M291" t="n">
        <v>0</v>
      </c>
      <c r="N291" t="n">
        <v>0</v>
      </c>
      <c r="O291" t="n">
        <v>0</v>
      </c>
      <c r="P291" t="n">
        <v>0</v>
      </c>
      <c r="Q291" t="n">
        <v>0</v>
      </c>
      <c r="R291" s="2" t="inlineStr"/>
    </row>
    <row r="292" ht="15" customHeight="1">
      <c r="A292" t="inlineStr">
        <is>
          <t>A 30350-2023</t>
        </is>
      </c>
      <c r="B292" s="1" t="n">
        <v>45111.39873842592</v>
      </c>
      <c r="C292" s="1" t="n">
        <v>46084</v>
      </c>
      <c r="D292" t="inlineStr">
        <is>
          <t>JÖNKÖPINGS LÄN</t>
        </is>
      </c>
      <c r="E292" t="inlineStr">
        <is>
          <t>HABO</t>
        </is>
      </c>
      <c r="G292" t="n">
        <v>2</v>
      </c>
      <c r="H292" t="n">
        <v>0</v>
      </c>
      <c r="I292" t="n">
        <v>0</v>
      </c>
      <c r="J292" t="n">
        <v>0</v>
      </c>
      <c r="K292" t="n">
        <v>0</v>
      </c>
      <c r="L292" t="n">
        <v>0</v>
      </c>
      <c r="M292" t="n">
        <v>0</v>
      </c>
      <c r="N292" t="n">
        <v>0</v>
      </c>
      <c r="O292" t="n">
        <v>0</v>
      </c>
      <c r="P292" t="n">
        <v>0</v>
      </c>
      <c r="Q292" t="n">
        <v>0</v>
      </c>
      <c r="R292" s="2" t="inlineStr"/>
    </row>
    <row r="293" ht="15" customHeight="1">
      <c r="A293" t="inlineStr">
        <is>
          <t>A 26202-2023</t>
        </is>
      </c>
      <c r="B293" s="1" t="n">
        <v>45091.54733796296</v>
      </c>
      <c r="C293" s="1" t="n">
        <v>46084</v>
      </c>
      <c r="D293" t="inlineStr">
        <is>
          <t>JÖNKÖPINGS LÄN</t>
        </is>
      </c>
      <c r="E293" t="inlineStr">
        <is>
          <t>HABO</t>
        </is>
      </c>
      <c r="G293" t="n">
        <v>0.2</v>
      </c>
      <c r="H293" t="n">
        <v>0</v>
      </c>
      <c r="I293" t="n">
        <v>0</v>
      </c>
      <c r="J293" t="n">
        <v>0</v>
      </c>
      <c r="K293" t="n">
        <v>0</v>
      </c>
      <c r="L293" t="n">
        <v>0</v>
      </c>
      <c r="M293" t="n">
        <v>0</v>
      </c>
      <c r="N293" t="n">
        <v>0</v>
      </c>
      <c r="O293" t="n">
        <v>0</v>
      </c>
      <c r="P293" t="n">
        <v>0</v>
      </c>
      <c r="Q293" t="n">
        <v>0</v>
      </c>
      <c r="R293" s="2" t="inlineStr"/>
    </row>
    <row r="294" ht="15" customHeight="1">
      <c r="A294" t="inlineStr">
        <is>
          <t>A 51016-2024</t>
        </is>
      </c>
      <c r="B294" s="1" t="n">
        <v>45603.40053240741</v>
      </c>
      <c r="C294" s="1" t="n">
        <v>46084</v>
      </c>
      <c r="D294" t="inlineStr">
        <is>
          <t>JÖNKÖPINGS LÄN</t>
        </is>
      </c>
      <c r="E294" t="inlineStr">
        <is>
          <t>HABO</t>
        </is>
      </c>
      <c r="G294" t="n">
        <v>2.6</v>
      </c>
      <c r="H294" t="n">
        <v>0</v>
      </c>
      <c r="I294" t="n">
        <v>0</v>
      </c>
      <c r="J294" t="n">
        <v>0</v>
      </c>
      <c r="K294" t="n">
        <v>0</v>
      </c>
      <c r="L294" t="n">
        <v>0</v>
      </c>
      <c r="M294" t="n">
        <v>0</v>
      </c>
      <c r="N294" t="n">
        <v>0</v>
      </c>
      <c r="O294" t="n">
        <v>0</v>
      </c>
      <c r="P294" t="n">
        <v>0</v>
      </c>
      <c r="Q294" t="n">
        <v>0</v>
      </c>
      <c r="R294" s="2" t="inlineStr"/>
    </row>
    <row r="295" ht="15" customHeight="1">
      <c r="A295" t="inlineStr">
        <is>
          <t>A 1915-2025</t>
        </is>
      </c>
      <c r="B295" s="1" t="n">
        <v>45671.66295138889</v>
      </c>
      <c r="C295" s="1" t="n">
        <v>46084</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28131-2023</t>
        </is>
      </c>
      <c r="B296" s="1" t="n">
        <v>45099</v>
      </c>
      <c r="C296" s="1" t="n">
        <v>46084</v>
      </c>
      <c r="D296" t="inlineStr">
        <is>
          <t>JÖNKÖPINGS LÄN</t>
        </is>
      </c>
      <c r="E296" t="inlineStr">
        <is>
          <t>HABO</t>
        </is>
      </c>
      <c r="G296" t="n">
        <v>1.7</v>
      </c>
      <c r="H296" t="n">
        <v>0</v>
      </c>
      <c r="I296" t="n">
        <v>0</v>
      </c>
      <c r="J296" t="n">
        <v>0</v>
      </c>
      <c r="K296" t="n">
        <v>0</v>
      </c>
      <c r="L296" t="n">
        <v>0</v>
      </c>
      <c r="M296" t="n">
        <v>0</v>
      </c>
      <c r="N296" t="n">
        <v>0</v>
      </c>
      <c r="O296" t="n">
        <v>0</v>
      </c>
      <c r="P296" t="n">
        <v>0</v>
      </c>
      <c r="Q296" t="n">
        <v>0</v>
      </c>
      <c r="R296" s="2" t="inlineStr"/>
    </row>
    <row r="297" ht="15" customHeight="1">
      <c r="A297" t="inlineStr">
        <is>
          <t>A 28140-2023</t>
        </is>
      </c>
      <c r="B297" s="1" t="n">
        <v>45099</v>
      </c>
      <c r="C297" s="1" t="n">
        <v>46084</v>
      </c>
      <c r="D297" t="inlineStr">
        <is>
          <t>JÖNKÖPINGS LÄN</t>
        </is>
      </c>
      <c r="E297" t="inlineStr">
        <is>
          <t>HABO</t>
        </is>
      </c>
      <c r="G297" t="n">
        <v>3.4</v>
      </c>
      <c r="H297" t="n">
        <v>0</v>
      </c>
      <c r="I297" t="n">
        <v>0</v>
      </c>
      <c r="J297" t="n">
        <v>0</v>
      </c>
      <c r="K297" t="n">
        <v>0</v>
      </c>
      <c r="L297" t="n">
        <v>0</v>
      </c>
      <c r="M297" t="n">
        <v>0</v>
      </c>
      <c r="N297" t="n">
        <v>0</v>
      </c>
      <c r="O297" t="n">
        <v>0</v>
      </c>
      <c r="P297" t="n">
        <v>0</v>
      </c>
      <c r="Q297" t="n">
        <v>0</v>
      </c>
      <c r="R297" s="2" t="inlineStr"/>
    </row>
    <row r="298" ht="15" customHeight="1">
      <c r="A298" t="inlineStr">
        <is>
          <t>A 26774-2024</t>
        </is>
      </c>
      <c r="B298" s="1" t="n">
        <v>45469</v>
      </c>
      <c r="C298" s="1" t="n">
        <v>46084</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61580-2024</t>
        </is>
      </c>
      <c r="B299" s="1" t="n">
        <v>45646</v>
      </c>
      <c r="C299" s="1" t="n">
        <v>46084</v>
      </c>
      <c r="D299" t="inlineStr">
        <is>
          <t>JÖNKÖPINGS LÄN</t>
        </is>
      </c>
      <c r="E299" t="inlineStr">
        <is>
          <t>HABO</t>
        </is>
      </c>
      <c r="G299" t="n">
        <v>2.1</v>
      </c>
      <c r="H299" t="n">
        <v>0</v>
      </c>
      <c r="I299" t="n">
        <v>0</v>
      </c>
      <c r="J299" t="n">
        <v>0</v>
      </c>
      <c r="K299" t="n">
        <v>0</v>
      </c>
      <c r="L299" t="n">
        <v>0</v>
      </c>
      <c r="M299" t="n">
        <v>0</v>
      </c>
      <c r="N299" t="n">
        <v>0</v>
      </c>
      <c r="O299" t="n">
        <v>0</v>
      </c>
      <c r="P299" t="n">
        <v>0</v>
      </c>
      <c r="Q299" t="n">
        <v>0</v>
      </c>
      <c r="R299" s="2" t="inlineStr"/>
    </row>
    <row r="300" ht="15" customHeight="1">
      <c r="A300" t="inlineStr">
        <is>
          <t>A 63418-2023</t>
        </is>
      </c>
      <c r="B300" s="1" t="n">
        <v>45274</v>
      </c>
      <c r="C300" s="1" t="n">
        <v>46084</v>
      </c>
      <c r="D300" t="inlineStr">
        <is>
          <t>JÖNKÖPINGS LÄN</t>
        </is>
      </c>
      <c r="E300" t="inlineStr">
        <is>
          <t>HABO</t>
        </is>
      </c>
      <c r="G300" t="n">
        <v>4</v>
      </c>
      <c r="H300" t="n">
        <v>0</v>
      </c>
      <c r="I300" t="n">
        <v>0</v>
      </c>
      <c r="J300" t="n">
        <v>0</v>
      </c>
      <c r="K300" t="n">
        <v>0</v>
      </c>
      <c r="L300" t="n">
        <v>0</v>
      </c>
      <c r="M300" t="n">
        <v>0</v>
      </c>
      <c r="N300" t="n">
        <v>0</v>
      </c>
      <c r="O300" t="n">
        <v>0</v>
      </c>
      <c r="P300" t="n">
        <v>0</v>
      </c>
      <c r="Q300" t="n">
        <v>0</v>
      </c>
      <c r="R300" s="2" t="inlineStr"/>
    </row>
    <row r="301" ht="15" customHeight="1">
      <c r="A301" t="inlineStr">
        <is>
          <t>A 3077-2024</t>
        </is>
      </c>
      <c r="B301" s="1" t="n">
        <v>45316.43134259259</v>
      </c>
      <c r="C301" s="1" t="n">
        <v>46084</v>
      </c>
      <c r="D301" t="inlineStr">
        <is>
          <t>JÖNKÖPINGS LÄN</t>
        </is>
      </c>
      <c r="E301" t="inlineStr">
        <is>
          <t>HABO</t>
        </is>
      </c>
      <c r="G301" t="n">
        <v>3</v>
      </c>
      <c r="H301" t="n">
        <v>0</v>
      </c>
      <c r="I301" t="n">
        <v>0</v>
      </c>
      <c r="J301" t="n">
        <v>0</v>
      </c>
      <c r="K301" t="n">
        <v>0</v>
      </c>
      <c r="L301" t="n">
        <v>0</v>
      </c>
      <c r="M301" t="n">
        <v>0</v>
      </c>
      <c r="N301" t="n">
        <v>0</v>
      </c>
      <c r="O301" t="n">
        <v>0</v>
      </c>
      <c r="P301" t="n">
        <v>0</v>
      </c>
      <c r="Q301" t="n">
        <v>0</v>
      </c>
      <c r="R301" s="2" t="inlineStr"/>
    </row>
    <row r="302" ht="15" customHeight="1">
      <c r="A302" t="inlineStr">
        <is>
          <t>A 38779-2022</t>
        </is>
      </c>
      <c r="B302" s="1" t="n">
        <v>44816.42069444444</v>
      </c>
      <c r="C302" s="1" t="n">
        <v>46084</v>
      </c>
      <c r="D302" t="inlineStr">
        <is>
          <t>JÖNKÖPINGS LÄN</t>
        </is>
      </c>
      <c r="E302" t="inlineStr">
        <is>
          <t>HABO</t>
        </is>
      </c>
      <c r="G302" t="n">
        <v>1.4</v>
      </c>
      <c r="H302" t="n">
        <v>0</v>
      </c>
      <c r="I302" t="n">
        <v>0</v>
      </c>
      <c r="J302" t="n">
        <v>0</v>
      </c>
      <c r="K302" t="n">
        <v>0</v>
      </c>
      <c r="L302" t="n">
        <v>0</v>
      </c>
      <c r="M302" t="n">
        <v>0</v>
      </c>
      <c r="N302" t="n">
        <v>0</v>
      </c>
      <c r="O302" t="n">
        <v>0</v>
      </c>
      <c r="P302" t="n">
        <v>0</v>
      </c>
      <c r="Q302" t="n">
        <v>0</v>
      </c>
      <c r="R302" s="2" t="inlineStr"/>
    </row>
    <row r="303" ht="15" customHeight="1">
      <c r="A303" t="inlineStr">
        <is>
          <t>A 45601-2022</t>
        </is>
      </c>
      <c r="B303" s="1" t="n">
        <v>44845.56953703704</v>
      </c>
      <c r="C303" s="1" t="n">
        <v>46084</v>
      </c>
      <c r="D303" t="inlineStr">
        <is>
          <t>JÖNKÖPINGS LÄN</t>
        </is>
      </c>
      <c r="E303" t="inlineStr">
        <is>
          <t>HABO</t>
        </is>
      </c>
      <c r="G303" t="n">
        <v>3</v>
      </c>
      <c r="H303" t="n">
        <v>0</v>
      </c>
      <c r="I303" t="n">
        <v>0</v>
      </c>
      <c r="J303" t="n">
        <v>0</v>
      </c>
      <c r="K303" t="n">
        <v>0</v>
      </c>
      <c r="L303" t="n">
        <v>0</v>
      </c>
      <c r="M303" t="n">
        <v>0</v>
      </c>
      <c r="N303" t="n">
        <v>0</v>
      </c>
      <c r="O303" t="n">
        <v>0</v>
      </c>
      <c r="P303" t="n">
        <v>0</v>
      </c>
      <c r="Q303" t="n">
        <v>0</v>
      </c>
      <c r="R303" s="2" t="inlineStr"/>
    </row>
    <row r="304" ht="15" customHeight="1">
      <c r="A304" t="inlineStr">
        <is>
          <t>A 6069-2025</t>
        </is>
      </c>
      <c r="B304" s="1" t="n">
        <v>45696.44892361111</v>
      </c>
      <c r="C304" s="1" t="n">
        <v>46084</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17941-2025</t>
        </is>
      </c>
      <c r="B305" s="1" t="n">
        <v>45760.58021990741</v>
      </c>
      <c r="C305" s="1" t="n">
        <v>46084</v>
      </c>
      <c r="D305" t="inlineStr">
        <is>
          <t>JÖNKÖPINGS LÄN</t>
        </is>
      </c>
      <c r="E305" t="inlineStr">
        <is>
          <t>HABO</t>
        </is>
      </c>
      <c r="G305" t="n">
        <v>2.4</v>
      </c>
      <c r="H305" t="n">
        <v>0</v>
      </c>
      <c r="I305" t="n">
        <v>0</v>
      </c>
      <c r="J305" t="n">
        <v>0</v>
      </c>
      <c r="K305" t="n">
        <v>0</v>
      </c>
      <c r="L305" t="n">
        <v>0</v>
      </c>
      <c r="M305" t="n">
        <v>0</v>
      </c>
      <c r="N305" t="n">
        <v>0</v>
      </c>
      <c r="O305" t="n">
        <v>0</v>
      </c>
      <c r="P305" t="n">
        <v>0</v>
      </c>
      <c r="Q305" t="n">
        <v>0</v>
      </c>
      <c r="R305" s="2" t="inlineStr"/>
    </row>
    <row r="306" ht="15" customHeight="1">
      <c r="A306" t="inlineStr">
        <is>
          <t>A 54892-2021</t>
        </is>
      </c>
      <c r="B306" s="1" t="n">
        <v>44474.36921296296</v>
      </c>
      <c r="C306" s="1" t="n">
        <v>46084</v>
      </c>
      <c r="D306" t="inlineStr">
        <is>
          <t>JÖNKÖPINGS LÄN</t>
        </is>
      </c>
      <c r="E306" t="inlineStr">
        <is>
          <t>HABO</t>
        </is>
      </c>
      <c r="G306" t="n">
        <v>1.5</v>
      </c>
      <c r="H306" t="n">
        <v>0</v>
      </c>
      <c r="I306" t="n">
        <v>0</v>
      </c>
      <c r="J306" t="n">
        <v>0</v>
      </c>
      <c r="K306" t="n">
        <v>0</v>
      </c>
      <c r="L306" t="n">
        <v>0</v>
      </c>
      <c r="M306" t="n">
        <v>0</v>
      </c>
      <c r="N306" t="n">
        <v>0</v>
      </c>
      <c r="O306" t="n">
        <v>0</v>
      </c>
      <c r="P306" t="n">
        <v>0</v>
      </c>
      <c r="Q306" t="n">
        <v>0</v>
      </c>
      <c r="R306" s="2" t="inlineStr"/>
    </row>
    <row r="307" ht="15" customHeight="1">
      <c r="A307" t="inlineStr">
        <is>
          <t>A 2780-2023</t>
        </is>
      </c>
      <c r="B307" s="1" t="n">
        <v>44944.65483796296</v>
      </c>
      <c r="C307" s="1" t="n">
        <v>46084</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48893-2024</t>
        </is>
      </c>
      <c r="B308" s="1" t="n">
        <v>45594.34168981481</v>
      </c>
      <c r="C308" s="1" t="n">
        <v>46084</v>
      </c>
      <c r="D308" t="inlineStr">
        <is>
          <t>JÖNKÖPINGS LÄN</t>
        </is>
      </c>
      <c r="E308" t="inlineStr">
        <is>
          <t>HABO</t>
        </is>
      </c>
      <c r="G308" t="n">
        <v>2.8</v>
      </c>
      <c r="H308" t="n">
        <v>0</v>
      </c>
      <c r="I308" t="n">
        <v>0</v>
      </c>
      <c r="J308" t="n">
        <v>0</v>
      </c>
      <c r="K308" t="n">
        <v>0</v>
      </c>
      <c r="L308" t="n">
        <v>0</v>
      </c>
      <c r="M308" t="n">
        <v>0</v>
      </c>
      <c r="N308" t="n">
        <v>0</v>
      </c>
      <c r="O308" t="n">
        <v>0</v>
      </c>
      <c r="P308" t="n">
        <v>0</v>
      </c>
      <c r="Q308" t="n">
        <v>0</v>
      </c>
      <c r="R308" s="2" t="inlineStr"/>
    </row>
    <row r="309" ht="15" customHeight="1">
      <c r="A309" t="inlineStr">
        <is>
          <t>A 54987-2024</t>
        </is>
      </c>
      <c r="B309" s="1" t="n">
        <v>45620.8308912037</v>
      </c>
      <c r="C309" s="1" t="n">
        <v>46084</v>
      </c>
      <c r="D309" t="inlineStr">
        <is>
          <t>JÖNKÖPINGS LÄN</t>
        </is>
      </c>
      <c r="E309" t="inlineStr">
        <is>
          <t>HABO</t>
        </is>
      </c>
      <c r="G309" t="n">
        <v>4.2</v>
      </c>
      <c r="H309" t="n">
        <v>0</v>
      </c>
      <c r="I309" t="n">
        <v>0</v>
      </c>
      <c r="J309" t="n">
        <v>0</v>
      </c>
      <c r="K309" t="n">
        <v>0</v>
      </c>
      <c r="L309" t="n">
        <v>0</v>
      </c>
      <c r="M309" t="n">
        <v>0</v>
      </c>
      <c r="N309" t="n">
        <v>0</v>
      </c>
      <c r="O309" t="n">
        <v>0</v>
      </c>
      <c r="P309" t="n">
        <v>0</v>
      </c>
      <c r="Q309" t="n">
        <v>0</v>
      </c>
      <c r="R309" s="2" t="inlineStr"/>
    </row>
    <row r="310" ht="15" customHeight="1">
      <c r="A310" t="inlineStr">
        <is>
          <t>A 10943-2022</t>
        </is>
      </c>
      <c r="B310" s="1" t="n">
        <v>44628</v>
      </c>
      <c r="C310" s="1" t="n">
        <v>46084</v>
      </c>
      <c r="D310" t="inlineStr">
        <is>
          <t>JÖNKÖPINGS LÄN</t>
        </is>
      </c>
      <c r="E310" t="inlineStr">
        <is>
          <t>HABO</t>
        </is>
      </c>
      <c r="G310" t="n">
        <v>0.7</v>
      </c>
      <c r="H310" t="n">
        <v>0</v>
      </c>
      <c r="I310" t="n">
        <v>0</v>
      </c>
      <c r="J310" t="n">
        <v>0</v>
      </c>
      <c r="K310" t="n">
        <v>0</v>
      </c>
      <c r="L310" t="n">
        <v>0</v>
      </c>
      <c r="M310" t="n">
        <v>0</v>
      </c>
      <c r="N310" t="n">
        <v>0</v>
      </c>
      <c r="O310" t="n">
        <v>0</v>
      </c>
      <c r="P310" t="n">
        <v>0</v>
      </c>
      <c r="Q310" t="n">
        <v>0</v>
      </c>
      <c r="R310" s="2" t="inlineStr"/>
    </row>
    <row r="311" ht="15" customHeight="1">
      <c r="A311" t="inlineStr">
        <is>
          <t>A 1876-2022</t>
        </is>
      </c>
      <c r="B311" s="1" t="n">
        <v>44575.29486111111</v>
      </c>
      <c r="C311" s="1" t="n">
        <v>46084</v>
      </c>
      <c r="D311" t="inlineStr">
        <is>
          <t>JÖNKÖPINGS LÄN</t>
        </is>
      </c>
      <c r="E311" t="inlineStr">
        <is>
          <t>HABO</t>
        </is>
      </c>
      <c r="G311" t="n">
        <v>1.4</v>
      </c>
      <c r="H311" t="n">
        <v>0</v>
      </c>
      <c r="I311" t="n">
        <v>0</v>
      </c>
      <c r="J311" t="n">
        <v>0</v>
      </c>
      <c r="K311" t="n">
        <v>0</v>
      </c>
      <c r="L311" t="n">
        <v>0</v>
      </c>
      <c r="M311" t="n">
        <v>0</v>
      </c>
      <c r="N311" t="n">
        <v>0</v>
      </c>
      <c r="O311" t="n">
        <v>0</v>
      </c>
      <c r="P311" t="n">
        <v>0</v>
      </c>
      <c r="Q311" t="n">
        <v>0</v>
      </c>
      <c r="R311" s="2" t="inlineStr"/>
    </row>
    <row r="312" ht="15" customHeight="1">
      <c r="A312" t="inlineStr">
        <is>
          <t>A 15516-2023</t>
        </is>
      </c>
      <c r="B312" s="1" t="n">
        <v>45020</v>
      </c>
      <c r="C312" s="1" t="n">
        <v>46084</v>
      </c>
      <c r="D312" t="inlineStr">
        <is>
          <t>JÖNKÖPINGS LÄN</t>
        </is>
      </c>
      <c r="E312" t="inlineStr">
        <is>
          <t>HABO</t>
        </is>
      </c>
      <c r="G312" t="n">
        <v>1.8</v>
      </c>
      <c r="H312" t="n">
        <v>0</v>
      </c>
      <c r="I312" t="n">
        <v>0</v>
      </c>
      <c r="J312" t="n">
        <v>0</v>
      </c>
      <c r="K312" t="n">
        <v>0</v>
      </c>
      <c r="L312" t="n">
        <v>0</v>
      </c>
      <c r="M312" t="n">
        <v>0</v>
      </c>
      <c r="N312" t="n">
        <v>0</v>
      </c>
      <c r="O312" t="n">
        <v>0</v>
      </c>
      <c r="P312" t="n">
        <v>0</v>
      </c>
      <c r="Q312" t="n">
        <v>0</v>
      </c>
      <c r="R312" s="2" t="inlineStr"/>
    </row>
    <row r="313" ht="15" customHeight="1">
      <c r="A313" t="inlineStr">
        <is>
          <t>A 15518-2023</t>
        </is>
      </c>
      <c r="B313" s="1" t="n">
        <v>45020</v>
      </c>
      <c r="C313" s="1" t="n">
        <v>46084</v>
      </c>
      <c r="D313" t="inlineStr">
        <is>
          <t>JÖNKÖPINGS LÄN</t>
        </is>
      </c>
      <c r="E313" t="inlineStr">
        <is>
          <t>HABO</t>
        </is>
      </c>
      <c r="G313" t="n">
        <v>2.5</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46084</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40883-2023</t>
        </is>
      </c>
      <c r="B315" s="1" t="n">
        <v>45173.37297453704</v>
      </c>
      <c r="C315" s="1" t="n">
        <v>46084</v>
      </c>
      <c r="D315" t="inlineStr">
        <is>
          <t>JÖNKÖPINGS LÄN</t>
        </is>
      </c>
      <c r="E315" t="inlineStr">
        <is>
          <t>HABO</t>
        </is>
      </c>
      <c r="G315" t="n">
        <v>1.4</v>
      </c>
      <c r="H315" t="n">
        <v>0</v>
      </c>
      <c r="I315" t="n">
        <v>0</v>
      </c>
      <c r="J315" t="n">
        <v>0</v>
      </c>
      <c r="K315" t="n">
        <v>0</v>
      </c>
      <c r="L315" t="n">
        <v>0</v>
      </c>
      <c r="M315" t="n">
        <v>0</v>
      </c>
      <c r="N315" t="n">
        <v>0</v>
      </c>
      <c r="O315" t="n">
        <v>0</v>
      </c>
      <c r="P315" t="n">
        <v>0</v>
      </c>
      <c r="Q315" t="n">
        <v>0</v>
      </c>
      <c r="R315" s="2" t="inlineStr"/>
    </row>
    <row r="316" ht="15" customHeight="1">
      <c r="A316" t="inlineStr">
        <is>
          <t>A 40638-2024</t>
        </is>
      </c>
      <c r="B316" s="1" t="n">
        <v>45558.29855324074</v>
      </c>
      <c r="C316" s="1" t="n">
        <v>46084</v>
      </c>
      <c r="D316" t="inlineStr">
        <is>
          <t>JÖNKÖPINGS LÄN</t>
        </is>
      </c>
      <c r="E316" t="inlineStr">
        <is>
          <t>HABO</t>
        </is>
      </c>
      <c r="G316" t="n">
        <v>0.5</v>
      </c>
      <c r="H316" t="n">
        <v>0</v>
      </c>
      <c r="I316" t="n">
        <v>0</v>
      </c>
      <c r="J316" t="n">
        <v>0</v>
      </c>
      <c r="K316" t="n">
        <v>0</v>
      </c>
      <c r="L316" t="n">
        <v>0</v>
      </c>
      <c r="M316" t="n">
        <v>0</v>
      </c>
      <c r="N316" t="n">
        <v>0</v>
      </c>
      <c r="O316" t="n">
        <v>0</v>
      </c>
      <c r="P316" t="n">
        <v>0</v>
      </c>
      <c r="Q316" t="n">
        <v>0</v>
      </c>
      <c r="R316" s="2" t="inlineStr"/>
    </row>
    <row r="317" ht="15" customHeight="1">
      <c r="A317" t="inlineStr">
        <is>
          <t>A 58668-2024</t>
        </is>
      </c>
      <c r="B317" s="1" t="n">
        <v>45635.6093287037</v>
      </c>
      <c r="C317" s="1" t="n">
        <v>46084</v>
      </c>
      <c r="D317" t="inlineStr">
        <is>
          <t>JÖNKÖPINGS LÄN</t>
        </is>
      </c>
      <c r="E317" t="inlineStr">
        <is>
          <t>HABO</t>
        </is>
      </c>
      <c r="G317" t="n">
        <v>1.1</v>
      </c>
      <c r="H317" t="n">
        <v>0</v>
      </c>
      <c r="I317" t="n">
        <v>0</v>
      </c>
      <c r="J317" t="n">
        <v>0</v>
      </c>
      <c r="K317" t="n">
        <v>0</v>
      </c>
      <c r="L317" t="n">
        <v>0</v>
      </c>
      <c r="M317" t="n">
        <v>0</v>
      </c>
      <c r="N317" t="n">
        <v>0</v>
      </c>
      <c r="O317" t="n">
        <v>0</v>
      </c>
      <c r="P317" t="n">
        <v>0</v>
      </c>
      <c r="Q317" t="n">
        <v>0</v>
      </c>
      <c r="R317" s="2" t="inlineStr"/>
    </row>
    <row r="318" ht="15" customHeight="1">
      <c r="A318" t="inlineStr">
        <is>
          <t>A 56767-2022</t>
        </is>
      </c>
      <c r="B318" s="1" t="n">
        <v>44894</v>
      </c>
      <c r="C318" s="1" t="n">
        <v>46084</v>
      </c>
      <c r="D318" t="inlineStr">
        <is>
          <t>JÖNKÖPINGS LÄN</t>
        </is>
      </c>
      <c r="E318" t="inlineStr">
        <is>
          <t>HABO</t>
        </is>
      </c>
      <c r="G318" t="n">
        <v>0.5</v>
      </c>
      <c r="H318" t="n">
        <v>0</v>
      </c>
      <c r="I318" t="n">
        <v>0</v>
      </c>
      <c r="J318" t="n">
        <v>0</v>
      </c>
      <c r="K318" t="n">
        <v>0</v>
      </c>
      <c r="L318" t="n">
        <v>0</v>
      </c>
      <c r="M318" t="n">
        <v>0</v>
      </c>
      <c r="N318" t="n">
        <v>0</v>
      </c>
      <c r="O318" t="n">
        <v>0</v>
      </c>
      <c r="P318" t="n">
        <v>0</v>
      </c>
      <c r="Q318" t="n">
        <v>0</v>
      </c>
      <c r="R318" s="2" t="inlineStr"/>
    </row>
    <row r="319" ht="15" customHeight="1">
      <c r="A319" t="inlineStr">
        <is>
          <t>A 26329-2024</t>
        </is>
      </c>
      <c r="B319" s="1" t="n">
        <v>45469</v>
      </c>
      <c r="C319" s="1" t="n">
        <v>46084</v>
      </c>
      <c r="D319" t="inlineStr">
        <is>
          <t>JÖNKÖPINGS LÄN</t>
        </is>
      </c>
      <c r="E319" t="inlineStr">
        <is>
          <t>HABO</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28813-2022</t>
        </is>
      </c>
      <c r="B320" s="1" t="n">
        <v>44749</v>
      </c>
      <c r="C320" s="1" t="n">
        <v>46084</v>
      </c>
      <c r="D320" t="inlineStr">
        <is>
          <t>JÖNKÖPINGS LÄN</t>
        </is>
      </c>
      <c r="E320" t="inlineStr">
        <is>
          <t>HABO</t>
        </is>
      </c>
      <c r="G320" t="n">
        <v>4.5</v>
      </c>
      <c r="H320" t="n">
        <v>0</v>
      </c>
      <c r="I320" t="n">
        <v>0</v>
      </c>
      <c r="J320" t="n">
        <v>0</v>
      </c>
      <c r="K320" t="n">
        <v>0</v>
      </c>
      <c r="L320" t="n">
        <v>0</v>
      </c>
      <c r="M320" t="n">
        <v>0</v>
      </c>
      <c r="N320" t="n">
        <v>0</v>
      </c>
      <c r="O320" t="n">
        <v>0</v>
      </c>
      <c r="P320" t="n">
        <v>0</v>
      </c>
      <c r="Q320" t="n">
        <v>0</v>
      </c>
      <c r="R320" s="2" t="inlineStr"/>
    </row>
    <row r="321" ht="15" customHeight="1">
      <c r="A321" t="inlineStr">
        <is>
          <t>A 28816-2022</t>
        </is>
      </c>
      <c r="B321" s="1" t="n">
        <v>44749</v>
      </c>
      <c r="C321" s="1" t="n">
        <v>46084</v>
      </c>
      <c r="D321" t="inlineStr">
        <is>
          <t>JÖNKÖPINGS LÄN</t>
        </is>
      </c>
      <c r="E321" t="inlineStr">
        <is>
          <t>HABO</t>
        </is>
      </c>
      <c r="G321" t="n">
        <v>5.2</v>
      </c>
      <c r="H321" t="n">
        <v>0</v>
      </c>
      <c r="I321" t="n">
        <v>0</v>
      </c>
      <c r="J321" t="n">
        <v>0</v>
      </c>
      <c r="K321" t="n">
        <v>0</v>
      </c>
      <c r="L321" t="n">
        <v>0</v>
      </c>
      <c r="M321" t="n">
        <v>0</v>
      </c>
      <c r="N321" t="n">
        <v>0</v>
      </c>
      <c r="O321" t="n">
        <v>0</v>
      </c>
      <c r="P321" t="n">
        <v>0</v>
      </c>
      <c r="Q321" t="n">
        <v>0</v>
      </c>
      <c r="R321" s="2" t="inlineStr"/>
    </row>
    <row r="322" ht="15" customHeight="1">
      <c r="A322" t="inlineStr">
        <is>
          <t>A 16459-2025</t>
        </is>
      </c>
      <c r="B322" s="1" t="n">
        <v>45751.53125</v>
      </c>
      <c r="C322" s="1" t="n">
        <v>46084</v>
      </c>
      <c r="D322" t="inlineStr">
        <is>
          <t>JÖNKÖPINGS LÄN</t>
        </is>
      </c>
      <c r="E322" t="inlineStr">
        <is>
          <t>HABO</t>
        </is>
      </c>
      <c r="G322" t="n">
        <v>0.9</v>
      </c>
      <c r="H322" t="n">
        <v>0</v>
      </c>
      <c r="I322" t="n">
        <v>0</v>
      </c>
      <c r="J322" t="n">
        <v>0</v>
      </c>
      <c r="K322" t="n">
        <v>0</v>
      </c>
      <c r="L322" t="n">
        <v>0</v>
      </c>
      <c r="M322" t="n">
        <v>0</v>
      </c>
      <c r="N322" t="n">
        <v>0</v>
      </c>
      <c r="O322" t="n">
        <v>0</v>
      </c>
      <c r="P322" t="n">
        <v>0</v>
      </c>
      <c r="Q322" t="n">
        <v>0</v>
      </c>
      <c r="R322" s="2" t="inlineStr"/>
    </row>
    <row r="323" ht="15" customHeight="1">
      <c r="A323" t="inlineStr">
        <is>
          <t>A 11075-2022</t>
        </is>
      </c>
      <c r="B323" s="1" t="n">
        <v>44628.6541087963</v>
      </c>
      <c r="C323" s="1" t="n">
        <v>46084</v>
      </c>
      <c r="D323" t="inlineStr">
        <is>
          <t>JÖNKÖPINGS LÄN</t>
        </is>
      </c>
      <c r="E323" t="inlineStr">
        <is>
          <t>HABO</t>
        </is>
      </c>
      <c r="G323" t="n">
        <v>2.5</v>
      </c>
      <c r="H323" t="n">
        <v>0</v>
      </c>
      <c r="I323" t="n">
        <v>0</v>
      </c>
      <c r="J323" t="n">
        <v>0</v>
      </c>
      <c r="K323" t="n">
        <v>0</v>
      </c>
      <c r="L323" t="n">
        <v>0</v>
      </c>
      <c r="M323" t="n">
        <v>0</v>
      </c>
      <c r="N323" t="n">
        <v>0</v>
      </c>
      <c r="O323" t="n">
        <v>0</v>
      </c>
      <c r="P323" t="n">
        <v>0</v>
      </c>
      <c r="Q323" t="n">
        <v>0</v>
      </c>
      <c r="R323" s="2" t="inlineStr"/>
    </row>
    <row r="324" ht="15" customHeight="1">
      <c r="A324" t="inlineStr">
        <is>
          <t>A 28135-2023</t>
        </is>
      </c>
      <c r="B324" s="1" t="n">
        <v>45099</v>
      </c>
      <c r="C324" s="1" t="n">
        <v>46084</v>
      </c>
      <c r="D324" t="inlineStr">
        <is>
          <t>JÖNKÖPINGS LÄN</t>
        </is>
      </c>
      <c r="E324" t="inlineStr">
        <is>
          <t>HABO</t>
        </is>
      </c>
      <c r="G324" t="n">
        <v>2.4</v>
      </c>
      <c r="H324" t="n">
        <v>0</v>
      </c>
      <c r="I324" t="n">
        <v>0</v>
      </c>
      <c r="J324" t="n">
        <v>0</v>
      </c>
      <c r="K324" t="n">
        <v>0</v>
      </c>
      <c r="L324" t="n">
        <v>0</v>
      </c>
      <c r="M324" t="n">
        <v>0</v>
      </c>
      <c r="N324" t="n">
        <v>0</v>
      </c>
      <c r="O324" t="n">
        <v>0</v>
      </c>
      <c r="P324" t="n">
        <v>0</v>
      </c>
      <c r="Q324" t="n">
        <v>0</v>
      </c>
      <c r="R324" s="2" t="inlineStr"/>
    </row>
    <row r="325" ht="15" customHeight="1">
      <c r="A325" t="inlineStr">
        <is>
          <t>A 19370-2024</t>
        </is>
      </c>
      <c r="B325" s="1" t="n">
        <v>45429.34811342593</v>
      </c>
      <c r="C325" s="1" t="n">
        <v>46084</v>
      </c>
      <c r="D325" t="inlineStr">
        <is>
          <t>JÖNKÖPINGS LÄN</t>
        </is>
      </c>
      <c r="E325" t="inlineStr">
        <is>
          <t>HABO</t>
        </is>
      </c>
      <c r="G325" t="n">
        <v>1.9</v>
      </c>
      <c r="H325" t="n">
        <v>0</v>
      </c>
      <c r="I325" t="n">
        <v>0</v>
      </c>
      <c r="J325" t="n">
        <v>0</v>
      </c>
      <c r="K325" t="n">
        <v>0</v>
      </c>
      <c r="L325" t="n">
        <v>0</v>
      </c>
      <c r="M325" t="n">
        <v>0</v>
      </c>
      <c r="N325" t="n">
        <v>0</v>
      </c>
      <c r="O325" t="n">
        <v>0</v>
      </c>
      <c r="P325" t="n">
        <v>0</v>
      </c>
      <c r="Q325" t="n">
        <v>0</v>
      </c>
      <c r="R325" s="2" t="inlineStr"/>
    </row>
    <row r="326" ht="15" customHeight="1">
      <c r="A326" t="inlineStr">
        <is>
          <t>A 15252-2024</t>
        </is>
      </c>
      <c r="B326" s="1" t="n">
        <v>45400.54119212963</v>
      </c>
      <c r="C326" s="1" t="n">
        <v>46084</v>
      </c>
      <c r="D326" t="inlineStr">
        <is>
          <t>JÖNKÖPINGS LÄN</t>
        </is>
      </c>
      <c r="E326" t="inlineStr">
        <is>
          <t>HABO</t>
        </is>
      </c>
      <c r="G326" t="n">
        <v>0.2</v>
      </c>
      <c r="H326" t="n">
        <v>0</v>
      </c>
      <c r="I326" t="n">
        <v>0</v>
      </c>
      <c r="J326" t="n">
        <v>0</v>
      </c>
      <c r="K326" t="n">
        <v>0</v>
      </c>
      <c r="L326" t="n">
        <v>0</v>
      </c>
      <c r="M326" t="n">
        <v>0</v>
      </c>
      <c r="N326" t="n">
        <v>0</v>
      </c>
      <c r="O326" t="n">
        <v>0</v>
      </c>
      <c r="P326" t="n">
        <v>0</v>
      </c>
      <c r="Q326" t="n">
        <v>0</v>
      </c>
      <c r="R326" s="2" t="inlineStr"/>
    </row>
    <row r="327" ht="15" customHeight="1">
      <c r="A327" t="inlineStr">
        <is>
          <t>A 44158-2023</t>
        </is>
      </c>
      <c r="B327" s="1" t="n">
        <v>45188.48688657407</v>
      </c>
      <c r="C327" s="1" t="n">
        <v>46084</v>
      </c>
      <c r="D327" t="inlineStr">
        <is>
          <t>JÖNKÖPINGS LÄN</t>
        </is>
      </c>
      <c r="E327" t="inlineStr">
        <is>
          <t>HABO</t>
        </is>
      </c>
      <c r="G327" t="n">
        <v>2.1</v>
      </c>
      <c r="H327" t="n">
        <v>0</v>
      </c>
      <c r="I327" t="n">
        <v>0</v>
      </c>
      <c r="J327" t="n">
        <v>0</v>
      </c>
      <c r="K327" t="n">
        <v>0</v>
      </c>
      <c r="L327" t="n">
        <v>0</v>
      </c>
      <c r="M327" t="n">
        <v>0</v>
      </c>
      <c r="N327" t="n">
        <v>0</v>
      </c>
      <c r="O327" t="n">
        <v>0</v>
      </c>
      <c r="P327" t="n">
        <v>0</v>
      </c>
      <c r="Q327" t="n">
        <v>0</v>
      </c>
      <c r="R327" s="2" t="inlineStr"/>
    </row>
    <row r="328" ht="15" customHeight="1">
      <c r="A328" t="inlineStr">
        <is>
          <t>A 23152-2024</t>
        </is>
      </c>
      <c r="B328" s="1" t="n">
        <v>45450.65791666666</v>
      </c>
      <c r="C328" s="1" t="n">
        <v>46084</v>
      </c>
      <c r="D328" t="inlineStr">
        <is>
          <t>JÖNKÖPINGS LÄN</t>
        </is>
      </c>
      <c r="E328" t="inlineStr">
        <is>
          <t>HABO</t>
        </is>
      </c>
      <c r="G328" t="n">
        <v>3.5</v>
      </c>
      <c r="H328" t="n">
        <v>0</v>
      </c>
      <c r="I328" t="n">
        <v>0</v>
      </c>
      <c r="J328" t="n">
        <v>0</v>
      </c>
      <c r="K328" t="n">
        <v>0</v>
      </c>
      <c r="L328" t="n">
        <v>0</v>
      </c>
      <c r="M328" t="n">
        <v>0</v>
      </c>
      <c r="N328" t="n">
        <v>0</v>
      </c>
      <c r="O328" t="n">
        <v>0</v>
      </c>
      <c r="P328" t="n">
        <v>0</v>
      </c>
      <c r="Q328" t="n">
        <v>0</v>
      </c>
      <c r="R328" s="2" t="inlineStr"/>
    </row>
    <row r="329" ht="15" customHeight="1">
      <c r="A329" t="inlineStr">
        <is>
          <t>A 49846-2024</t>
        </is>
      </c>
      <c r="B329" s="1" t="n">
        <v>45597.45862268518</v>
      </c>
      <c r="C329" s="1" t="n">
        <v>46084</v>
      </c>
      <c r="D329" t="inlineStr">
        <is>
          <t>JÖNKÖPINGS LÄN</t>
        </is>
      </c>
      <c r="E329" t="inlineStr">
        <is>
          <t>HABO</t>
        </is>
      </c>
      <c r="F329" t="inlineStr">
        <is>
          <t>Sveaskog</t>
        </is>
      </c>
      <c r="G329" t="n">
        <v>1.6</v>
      </c>
      <c r="H329" t="n">
        <v>0</v>
      </c>
      <c r="I329" t="n">
        <v>0</v>
      </c>
      <c r="J329" t="n">
        <v>0</v>
      </c>
      <c r="K329" t="n">
        <v>0</v>
      </c>
      <c r="L329" t="n">
        <v>0</v>
      </c>
      <c r="M329" t="n">
        <v>0</v>
      </c>
      <c r="N329" t="n">
        <v>0</v>
      </c>
      <c r="O329" t="n">
        <v>0</v>
      </c>
      <c r="P329" t="n">
        <v>0</v>
      </c>
      <c r="Q329" t="n">
        <v>0</v>
      </c>
      <c r="R329" s="2" t="inlineStr"/>
    </row>
    <row r="330">
      <c r="A330" t="inlineStr">
        <is>
          <t>A 7754-2025</t>
        </is>
      </c>
      <c r="B330" s="1" t="n">
        <v>45706.50554398148</v>
      </c>
      <c r="C330" s="1" t="n">
        <v>46084</v>
      </c>
      <c r="D330" t="inlineStr">
        <is>
          <t>JÖNKÖPINGS LÄN</t>
        </is>
      </c>
      <c r="E330" t="inlineStr">
        <is>
          <t>HABO</t>
        </is>
      </c>
      <c r="G330" t="n">
        <v>3.7</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2026-03-03T11:09:57Z</dcterms:created>
  <dcterms:modified xmlns:dcterms="http://purl.org/dc/terms/" xmlns:xsi="http://www.w3.org/2001/XMLSchema-instance" xsi:type="dcterms:W3CDTF">2026-03-03T11:09:57Z</dcterms:modified>
</cp:coreProperties>
</file>